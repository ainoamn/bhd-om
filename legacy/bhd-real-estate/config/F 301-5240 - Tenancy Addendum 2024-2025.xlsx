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231"/>
  <workbookPr defaultThemeVersion="124226"/>
  <mc:AlternateContent xmlns:mc="http://schemas.openxmlformats.org/markup-compatibility/2006">
    <mc:Choice Requires="x15">
      <x15ac:absPath xmlns:x15ac="http://schemas.microsoft.com/office/spreadsheetml/2010/11/ac" url="C:\Users\DELL\SFG International Dropbox\Maryam Al Sawafi\0. Administration\Buildings File\8. MQ Plot 369, Building 5240\Building Units\Flats\Flat 301\New Contract\"/>
    </mc:Choice>
  </mc:AlternateContent>
  <xr:revisionPtr revIDLastSave="0" documentId="13_ncr:1_{2274E667-E93D-478D-89FE-043334556712}" xr6:coauthVersionLast="47" xr6:coauthVersionMax="47" xr10:uidLastSave="{00000000-0000-0000-0000-000000000000}"/>
  <bookViews>
    <workbookView xWindow="-120" yWindow="-120" windowWidth="38640" windowHeight="15840" tabRatio="1000" activeTab="3" xr2:uid="{00000000-000D-0000-FFFF-FFFF00000000}"/>
  </bookViews>
  <sheets>
    <sheet name="Unit Details " sheetId="23" r:id="rId1"/>
    <sheet name="Index Commercial - 02" sheetId="22" r:id="rId2"/>
    <sheet name="01- Residential" sheetId="11" r:id="rId3"/>
    <sheet name="01- Renewal" sheetId="26" r:id="rId4"/>
    <sheet name="02- Extension of Tenancy" sheetId="13" r:id="rId5"/>
    <sheet name="Invoice + Requirement" sheetId="24" r:id="rId6"/>
    <sheet name="03- Declaration Form" sheetId="15" r:id="rId7"/>
    <sheet name="04- Tenant Check-In" sheetId="16" r:id="rId8"/>
    <sheet name="05- Tenant Check- out" sheetId="17" r:id="rId9"/>
    <sheet name="06- TENANCY CANCELLATION" sheetId="18" r:id="rId10"/>
    <sheet name="الشروط و الاحكام " sheetId="25" r:id="rId11"/>
    <sheet name="ورقة1" sheetId="10" r:id="rId12"/>
  </sheets>
  <definedNames>
    <definedName name="_xlnm.Print_Area" localSheetId="3">'01- Renewal'!$A$1:$F$34</definedName>
    <definedName name="_xlnm.Print_Area" localSheetId="2">'01- Residential'!$A$1:$F$45</definedName>
    <definedName name="_xlnm.Print_Area" localSheetId="4">'02- Extension of Tenancy'!$A$1:$F$80</definedName>
    <definedName name="_xlnm.Print_Area" localSheetId="6">'03- Declaration Form'!$A$1:$H$38</definedName>
    <definedName name="_xlnm.Print_Area" localSheetId="7">'04- Tenant Check-In'!$B$1:$G$42</definedName>
    <definedName name="_xlnm.Print_Area" localSheetId="8">'05- Tenant Check- out'!$A$1:$F$57</definedName>
    <definedName name="_xlnm.Print_Area" localSheetId="9">'06- TENANCY CANCELLATION'!$A$1:$D$26</definedName>
    <definedName name="_xlnm.Print_Area" localSheetId="1">'Index Commercial - 02'!$B$3:$G$19</definedName>
    <definedName name="_xlnm.Print_Area" localSheetId="5">'Invoice + Requirement'!$A$1:$G$44</definedName>
    <definedName name="_xlnm.Print_Area" localSheetId="0">'Unit Details '!$B$1:$G$14</definedName>
    <definedName name="_xlnm.Print_Area" localSheetId="10">'الشروط و الاحكام '!$A$1:$F$80</definedName>
    <definedName name="_xlnm.Print_Titles" localSheetId="3">'01- Renewal'!$1:$8</definedName>
    <definedName name="_xlnm.Print_Titles" localSheetId="2">'01- Residential'!$1:$8</definedName>
    <definedName name="_xlnm.Print_Titles" localSheetId="4">'02- Extension of Tenancy'!$1:$7</definedName>
    <definedName name="_xlnm.Print_Titles" localSheetId="5">'Invoice + Requirement'!$1:$8</definedName>
    <definedName name="_xlnm.Print_Titles" localSheetId="10">'الشروط و الاحكام '!$1:$8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1" i="26" l="1"/>
  <c r="E15" i="24"/>
  <c r="E16" i="24"/>
  <c r="E17" i="24"/>
  <c r="E18" i="24"/>
  <c r="E19" i="24"/>
  <c r="E20" i="24"/>
  <c r="E21" i="24"/>
  <c r="E22" i="24"/>
  <c r="E23" i="24"/>
  <c r="E24" i="24"/>
  <c r="E14" i="24"/>
  <c r="E13" i="24"/>
  <c r="C27" i="26"/>
  <c r="C25" i="26"/>
  <c r="C32" i="11"/>
  <c r="C26" i="26"/>
  <c r="C28" i="26"/>
  <c r="C24" i="26"/>
  <c r="C22" i="26"/>
  <c r="C21" i="26"/>
  <c r="C20" i="26"/>
  <c r="D18" i="26"/>
  <c r="C17" i="26"/>
  <c r="C16" i="26"/>
  <c r="C15" i="26"/>
  <c r="C13" i="26"/>
  <c r="C10" i="25"/>
  <c r="C11" i="24"/>
  <c r="C10" i="24"/>
  <c r="C11" i="23"/>
  <c r="C10" i="23"/>
  <c r="C12" i="23"/>
  <c r="C13" i="23"/>
  <c r="C14" i="23"/>
  <c r="C9" i="23"/>
  <c r="B13" i="18"/>
  <c r="C10" i="16"/>
  <c r="B14" i="17"/>
  <c r="B18" i="18"/>
  <c r="B17" i="18"/>
  <c r="B15" i="18"/>
  <c r="B14" i="18"/>
  <c r="B11" i="18"/>
  <c r="B18" i="17"/>
  <c r="B17" i="17"/>
  <c r="B15" i="17"/>
  <c r="B13" i="17"/>
  <c r="C17" i="16"/>
  <c r="C16" i="16"/>
  <c r="C14" i="16"/>
  <c r="C13" i="16"/>
  <c r="C12" i="16"/>
  <c r="C34" i="15"/>
  <c r="C33" i="15"/>
  <c r="C32" i="15"/>
  <c r="C10" i="13"/>
</calcChain>
</file>

<file path=xl/sharedStrings.xml><?xml version="1.0" encoding="utf-8"?>
<sst xmlns="http://schemas.openxmlformats.org/spreadsheetml/2006/main" count="1035" uniqueCount="461">
  <si>
    <t>Remarks</t>
  </si>
  <si>
    <t>P.O.Box : 154 , P.C : 111 ,Sultanate of Oman, Tel.: +968 24499481 Fax.: +968 24497482</t>
  </si>
  <si>
    <t>Landlord Details (First Party):</t>
  </si>
  <si>
    <t xml:space="preserve">الاسم: </t>
  </si>
  <si>
    <t>Name:</t>
  </si>
  <si>
    <t>بيانات المؤجر(الطرف الأول ) :</t>
  </si>
  <si>
    <t xml:space="preserve"> بيانات المستأجر (الطرف الثاني ) :</t>
  </si>
  <si>
    <t>Tenant Details (Second Party):</t>
  </si>
  <si>
    <t>الرقم المدني / رقم بطاقة العمل :</t>
  </si>
  <si>
    <t>ID / Labor Card No.:</t>
  </si>
  <si>
    <t>Property Details:</t>
  </si>
  <si>
    <t xml:space="preserve">بيانات العقار المستأجر : </t>
  </si>
  <si>
    <t>Flat/Shop no :</t>
  </si>
  <si>
    <t>Building No.:</t>
  </si>
  <si>
    <t>رقم العقد :</t>
  </si>
  <si>
    <t>Agreement No.:</t>
  </si>
  <si>
    <t>مدة العقد والقيمة الإيجارية :</t>
  </si>
  <si>
    <t>Agreement Period &amp; Rental Value:</t>
  </si>
  <si>
    <t>From :</t>
  </si>
  <si>
    <t>To :</t>
  </si>
  <si>
    <t>يبدأ من :</t>
  </si>
  <si>
    <t>ينتهي في :</t>
  </si>
  <si>
    <t>Monthly Rental Amount :</t>
  </si>
  <si>
    <t>رقم النقال :</t>
  </si>
  <si>
    <t>رقم المبنى :</t>
  </si>
  <si>
    <t>رقم الشقة/المحل :</t>
  </si>
  <si>
    <t>ص.ب: 154 ، الرمز البريدي : 111 ، سلطنة عمان ، هاتف : 2449944841 968 + ، فاكس 24497482 968 +</t>
  </si>
  <si>
    <t xml:space="preserve">نوع العقد </t>
  </si>
  <si>
    <t xml:space="preserve">أسم المستأجر </t>
  </si>
  <si>
    <t>رقم الهاتف البديل :</t>
  </si>
  <si>
    <t xml:space="preserve">رقم عداد الكهرباء : </t>
  </si>
  <si>
    <t>قراءة عداد الكهرباء :</t>
  </si>
  <si>
    <t xml:space="preserve">رقم عداد الماء : </t>
  </si>
  <si>
    <t xml:space="preserve">قراءة عداد الماء : </t>
  </si>
  <si>
    <t xml:space="preserve">تفاصيل أخرى </t>
  </si>
  <si>
    <t xml:space="preserve">شروط وأحكام أخرى : </t>
  </si>
  <si>
    <t xml:space="preserve">الملاحظات : </t>
  </si>
  <si>
    <t>البريد الإكتروني :</t>
  </si>
  <si>
    <t>القيمة الإيجارية الشهرية :</t>
  </si>
  <si>
    <t>Contract Type</t>
  </si>
  <si>
    <t>Electricity Meter Number</t>
  </si>
  <si>
    <t>Water Meter Number</t>
  </si>
  <si>
    <t xml:space="preserve">رسوم البلدية : </t>
  </si>
  <si>
    <t>Municipal fees</t>
  </si>
  <si>
    <t>Payment Method</t>
  </si>
  <si>
    <t>check or receipt number</t>
  </si>
  <si>
    <t>Security</t>
  </si>
  <si>
    <t>Other terms and conditions</t>
  </si>
  <si>
    <t>Alternative phone number:</t>
  </si>
  <si>
    <t>E-mail :</t>
  </si>
  <si>
    <t xml:space="preserve">سيد فياض بن علي - Syed Fayyaz ali </t>
  </si>
  <si>
    <t xml:space="preserve">هناء بنت سيد فياض - Hana Syed Fayyaz </t>
  </si>
  <si>
    <t xml:space="preserve">النوع </t>
  </si>
  <si>
    <t>Type</t>
  </si>
  <si>
    <t>تجديد Renewal</t>
  </si>
  <si>
    <t>سكني  Residential</t>
  </si>
  <si>
    <t>تجاري Commercial</t>
  </si>
  <si>
    <t>Azaiba Plot 54, Building 65</t>
  </si>
  <si>
    <t>Barka Plot 1248, Building 999</t>
  </si>
  <si>
    <t>MQ Plot 36, Building 2645</t>
  </si>
  <si>
    <t>Azaiba Plot 170, Building 638</t>
  </si>
  <si>
    <t>Azaiba Plot 108, Building 449</t>
  </si>
  <si>
    <t>Al Khuwair Plot 410, Building 88</t>
  </si>
  <si>
    <t>Darsait Plot 109, Building 536</t>
  </si>
  <si>
    <t>Ghubrah Plot 160/2, Building 1114</t>
  </si>
  <si>
    <t>Ghubrah Plot 160/3, Building 1116</t>
  </si>
  <si>
    <t>Ghubrah Plot 840, Building 225</t>
  </si>
  <si>
    <t>Ghubrah Plot 1608, Building 7100</t>
  </si>
  <si>
    <t>Mabella Plot 11, Building 75</t>
  </si>
  <si>
    <t>Ruwi Plot 381, Building 37</t>
  </si>
  <si>
    <t>Ruwi Plot 140, Building 771</t>
  </si>
  <si>
    <t>Ali Salim Properties - Various</t>
  </si>
  <si>
    <t>نقدا  Cash</t>
  </si>
  <si>
    <t>شيك CHQ</t>
  </si>
  <si>
    <t>تحويل بنكي Bank transfer</t>
  </si>
  <si>
    <t>لا يوجد Nothing</t>
  </si>
  <si>
    <t>مجموعة سيد فياض العالمية  ش م م</t>
  </si>
  <si>
    <t xml:space="preserve">New  جديد </t>
  </si>
  <si>
    <t>other details</t>
  </si>
  <si>
    <t>يسري هذا العقد لمدة بالأشهر :</t>
  </si>
  <si>
    <t>This agreement is valid for a period of (months) :</t>
  </si>
  <si>
    <t xml:space="preserve">أحمد بن هاشل المسكري - Ahmad Hashil Al Muskri </t>
  </si>
  <si>
    <t>Wafa Ali Slaim Al Sinani  - وفاء بنت علي بن سالم السناني</t>
  </si>
  <si>
    <t>Wafa Ali Salim Villa</t>
  </si>
  <si>
    <t xml:space="preserve">زكية بنت محمد بن خميس الزدجالي Zakat  Muhammad Khamis Al-Zadjali </t>
  </si>
  <si>
    <t>Zakat FLAT 506 BUILDING 1440</t>
  </si>
  <si>
    <t>أ</t>
  </si>
  <si>
    <t>Mobile No:</t>
  </si>
  <si>
    <t>مبلغ المودع :</t>
  </si>
  <si>
    <t>Deposit amount:</t>
  </si>
  <si>
    <t>رقم الشيك أو الإيصال :</t>
  </si>
  <si>
    <t>الضمان :</t>
  </si>
  <si>
    <t>طريقة الدفع :</t>
  </si>
  <si>
    <t>Mabella Plot 3, Building 180</t>
  </si>
  <si>
    <t>The tenant's signature on this form constitutes approval of the contract documentation by the competent authorities.</t>
  </si>
  <si>
    <t xml:space="preserve"> توقيع المستأجر على هذا النموذج موافقة على توثيق العقد من قبل السلطات المختصة.</t>
  </si>
  <si>
    <t>Tenancy Agreement Addendum</t>
  </si>
  <si>
    <t>A</t>
  </si>
  <si>
    <t>B</t>
  </si>
  <si>
    <t>ب</t>
  </si>
  <si>
    <t>C</t>
  </si>
  <si>
    <t>ت</t>
  </si>
  <si>
    <t>D</t>
  </si>
  <si>
    <t>ث</t>
  </si>
  <si>
    <t>Official Communication Method</t>
  </si>
  <si>
    <t>طريقة الاتصال الرسمية</t>
  </si>
  <si>
    <t>All official communication must be delivered in writing by hand or the registered email addresses in this agreement.</t>
  </si>
  <si>
    <t>يجب تسليم جميع المراسلات الرسمية الكتابة باليد أو عناوين البريد الإلكتروني المسجلة في هذه الاتفاقية.</t>
  </si>
  <si>
    <t>Non-Refundable Booking Deposit</t>
  </si>
  <si>
    <t>وديعة الحجز غير قابلة للاسترداد</t>
  </si>
  <si>
    <t>In case the Tenant does not proceed with renting the Unit, the non-refundable booking deposit will be forfeited.</t>
  </si>
  <si>
    <t>في حالة عدم قيام المستأجر باستئجار الوحدة ، سيتم مصادرة وديعة الحجز غير القابلة للاسترداد.</t>
  </si>
  <si>
    <t>Once this agreement is signed and the Tenant has paid the rent for the first month of the tenancy agreement, the non-refundable booking deposit will automatically be converted to a security deposit.</t>
  </si>
  <si>
    <t>بمجرد توقيع هذه الاتفاقية ودفع المستأجر إيجار الشهر الأول من اتفاقية الإيجار ، سيتم تحويل وديعة الحجز غير القابلة للاسترداد تلقائيًا إلى وديعة تأمين.</t>
  </si>
  <si>
    <t>Security Deposit</t>
  </si>
  <si>
    <t>مبلغ التأمين</t>
  </si>
  <si>
    <t>The Tenant is required to deposit and maintain one month’s rent as a security deposit throughout the tenancy period.</t>
  </si>
  <si>
    <t>يتعين على المستأجر إيداع إيجار شهر واحد والاحتفاظ به كوديعة ضمان طوال فترة الإيجار.</t>
  </si>
  <si>
    <t>The security deposit is refundable subject to the Tenant completing their full tenancy period as per the agreement and clearing all their dues.</t>
  </si>
  <si>
    <t>وديعة الضمان قابلة للاسترداد بشرط استكمال المستأجر لفترة الإيجار الكاملة وفقًا للاتفاقية وتسوية جميع مستحقاته.</t>
  </si>
  <si>
    <t>E</t>
  </si>
  <si>
    <t>If the tenancy agreement is terminated early for any reason, the security deposit will be forfeited.</t>
  </si>
  <si>
    <t>إذا تم إنهاء عقد الإيجار مبكرًا لأي سبب من الأسباب ، فسيتم مصادرة وديعة التأمين.</t>
  </si>
  <si>
    <t>ج</t>
  </si>
  <si>
    <t>F</t>
  </si>
  <si>
    <t>ح</t>
  </si>
  <si>
    <t>G</t>
  </si>
  <si>
    <t>خ</t>
  </si>
  <si>
    <t>Payment Terms</t>
  </si>
  <si>
    <t>شروط الدفع</t>
  </si>
  <si>
    <t>The Tenant must pay the due rent on the 01st of the month in advance.</t>
  </si>
  <si>
    <t>يجب على المستأجر دفع الإيجار المستحق في اليوم الأول من الشهر مقدمًا.</t>
  </si>
  <si>
    <t>The Tenant must provide post-dated cheques for the entire duration of the tenancy agreement.</t>
  </si>
  <si>
    <t>يجب على المستأجر تقديم شيكات مؤجلة الدفع لكامل مدة عقد الإيجار.</t>
  </si>
  <si>
    <t>The Tenant must provide 3 additional open-dated cheques equivalent to 3 months of rent. These will be deposited by the Landlord in case of any outstanding rent or other dues.</t>
  </si>
  <si>
    <t>يجب على المستأجر تقديم 3 شيكات إضافية مفتوحة الدفع تعادل 3 أشهر من الإيجار. سيتم إيداعها من قبل المالك في حالة وجود أي إيجار مستحق أو مستحقات أخرى.</t>
  </si>
  <si>
    <t>If the Tenant prefers to pay the rent by a bank transfer instead, the payment should be cleared at least three working days prior to the rent due date. Moreover, the Tenant should inform the Landlord once the bank transfer is completed by an official communication method.</t>
  </si>
  <si>
    <t>إذا فضل المستأجر دفع الإيجار عن طريق التحويل المصرفي بدلاً من ذلك ، فيجب تسوية الدفع قبل ثلاثة أيام عمل على الأقل من تاريخ استحقاق الإيجار. علاوة على ذلك ، يجب على المستأجر إبلاغ المالك بمجرد اكتمال التحويل المصرفي بطريقة اتصال رسمية.</t>
  </si>
  <si>
    <t>The cheque deposit date is the 01st of the month. In case the Tenant’s cheque bounces on the 01st, the Landlord will deposit it again on the 10th of the month, unless the Tenant has cleared the rent by bank transfer prior to the 10th.</t>
  </si>
  <si>
    <t>تاريخ إيداع الشيك هو الأول من الشهر. في حالة ارتداد الشيك الخاص بالمستأجر في اليوم الأول ، سيقوم المالك بإيداعه مرة أخرى في اليوم العاشر من الشهر ، إلا إذا قام المستأجر بتخليص الإيجار عن طريق التحويل المصرفي قبل اليوم العاشر.</t>
  </si>
  <si>
    <t>If the Tenant's cheques bounce due to insufficient funds, a penalty of 5% of the cheque amount will be charged by the Landlord.</t>
  </si>
  <si>
    <t>إذا ارتد شيك المستأجر بسبب عدم كفاية الأموال ، سيتم فرض غرامة قدرها 5 ٪ من مبلغ الشيك من قبل المالك.</t>
  </si>
  <si>
    <t>Late Payments</t>
  </si>
  <si>
    <t>المدفوعات المتأخرة</t>
  </si>
  <si>
    <t>If the rent is not received by the 15th of the month, a 15% late fee penalty will be charged on the cheque value on the 15th of the month.</t>
  </si>
  <si>
    <t>إذا لم يتم استلام الإيجار بحلول الخامس عشر من الشهر ، فسيتم فرض غرامة تأخير قدرها 15٪ على قيمة الشيك في الخامس عشر من الشهر.</t>
  </si>
  <si>
    <t>An additional 1% late fee penalty will be charged for every additional day of delay in rent after the 15th of the month, .e.g. a 17% late fee penalty if the rent is not paid until the 17th of the month.</t>
  </si>
  <si>
    <t>سيتم فرض غرامة إضافية بنسبة 1٪ على رسوم التأخير عن كل يوم تأخير إضافي في الإيجار بعد اليوم الخامس عشر من الشهر ، على سبيل المثال. غرامة 17٪ رسوم تأخير إذا لم يتم دفع الإيجار حتى 17 من الشهر.</t>
  </si>
  <si>
    <t>If the late fee penalty is not paid by the end of the month, it will carry forward and accumulate with future penalty fees.</t>
  </si>
  <si>
    <t>إذا لم يتم دفع غرامة الرسوم المتأخرة بحلول نهاية الشهر ، فسيتم ترحيلها وتتراكم مع رسوم الغرامات المستقبلية.</t>
  </si>
  <si>
    <t>Utility Bills</t>
  </si>
  <si>
    <t>فواتير المياه والكهرباء</t>
  </si>
  <si>
    <t>The Tenant is required to pay all utility bills of their Unit in full every month.</t>
  </si>
  <si>
    <t>يتعين على المستأجر دفع جميع فواتير المرافق الخاصة بوحدته بالكامل كل شهر.</t>
  </si>
  <si>
    <t>If the Tenant’s combined bills for water and electricity accumulate to over 25% of their monthly rent, the Landlord has the right to disconnect the electricity and water of the Unit and take legal action. The pending bill amount may also be deducted from the security deposit.With the tenant bearing all the legal consequences and losses that he may incur as a result of cutting the service for him.</t>
  </si>
  <si>
    <t>إذا تراكمت فواتير المستأجر المجمعة للمياه والكهرباء لأكثر من 25٪ من الإيجار الشهري ، يحق للمالك فصل الكهرباء والمياه عن الوحدة واتخاذ الإجراءات القانونية. قد يتم أيضًا خصم مبلغ الفاتورة المعلقة من وديعة التأمين. مع تحمل المستأجر كافة التبعات القانونية والخسائر التي قد يتكبدها نتيجة قطع الخدمة عنه.</t>
  </si>
  <si>
    <t>In case the Landlord pays the utility bills on the Tenant's behalf, a service charge of 5% of the monthly rent will be charged.</t>
  </si>
  <si>
    <t>في حالة قيام المالك بدفع فواتير الخدمات نيابة عن المستأجر ، سيتم فرض رسوم خدمة بنسبة 5٪ من الإيجار الشهري.</t>
  </si>
  <si>
    <t>Conditions of Stay</t>
  </si>
  <si>
    <t>شروط الاقامة</t>
  </si>
  <si>
    <t>The Tenant shall abide by all the instructions issued by the Landlord, which may change throughout the tenancy agreement.</t>
  </si>
  <si>
    <t>يجب على المستأجر الالتزام بجميع التعليمات الصادرة عن المالك ، والتي قد تتغير خلال عقد الإيجار.</t>
  </si>
  <si>
    <t>The Tenant is not allowed to sublet the Unit.</t>
  </si>
  <si>
    <t>لا يجوز للمستأجر تأجير الوحدة من الباطن.</t>
  </si>
  <si>
    <t>H</t>
  </si>
  <si>
    <t>The Tenant must return the Unit at the end of their tenancy agreement in the original condition that they received it in at the start of the tenancy agreement. Failure to do so will require the Landlord to charge all the costs to the Tenant to do such work.</t>
  </si>
  <si>
    <t>يجب على المستأجر إعادة الوحدة في نهاية عقد الإيجار إلى الحالة الأصلية التي استلمها بها في بداية عقد الإيجار. إن عدم القيام بذلك سوف يتطلب من المالك تحميل جميع التكاليف على المستأجر للقيام بهذا العمل.</t>
  </si>
  <si>
    <t>د</t>
  </si>
  <si>
    <t>I</t>
  </si>
  <si>
    <t>ذ</t>
  </si>
  <si>
    <t>J</t>
  </si>
  <si>
    <t>ر</t>
  </si>
  <si>
    <t>K</t>
  </si>
  <si>
    <t>ز</t>
  </si>
  <si>
    <t>The Tenant will be liable for any damage occurring to their Unit or the entire Property which is done by the Tenant or the Tenant’s guests or invitees.</t>
  </si>
  <si>
    <t>سيكون المستأجر مسؤولاً عن أي ضرر يحدث لوحدته أو العقار بأكمله والذي يحدث من قبل المستأجر أو ضيوف المستأجر أو المدعوين.</t>
  </si>
  <si>
    <t>The Tenant will not place any items outside of their leased Unit, including but not limited to the public areas, such as corridors, elevators, staircase, basements and roof floor.</t>
  </si>
  <si>
    <t>لن يضع المستأجر أي عناصر خارج الوحدة المؤجرة ، بما في ذلك على سبيل المثال لا الحصر المناطق العامة ، مثل الممرات والمصاعد والسلالم والطوابق السفلية وأرضية السقف.</t>
  </si>
  <si>
    <t>The Tenant shall maintain the property in a manner which conforms to all health and safety requirements. The Tenant shall keep their Unit free from all rodents, insects, and vermin attracted by unsanitary conditions caused by Tenant, and shall be responsible for all damage caused by such conditions.</t>
  </si>
  <si>
    <t>يجب على المستأجر صيانة العقار بطريقة تتوافق مع جميع متطلبات الصحة والسلامة. يجب على المستأجر الحفاظ على وحدته خالية من جميع القوارض والحشرات والحشرات التي تجذبها الظروف غير الصحية التي يسببها المستأجر ، ويكون مسؤولاً عن جميع الأضرار التي تسببها هذه الظروف.</t>
  </si>
  <si>
    <t>The Tenant will not litter or throw garbage in any part of the entire Property, or throw anything out of the windows, doors or ventilating ducts.</t>
  </si>
  <si>
    <t>The Tenant shall not permit or allow any vehicles that belong to or are controlled by the Tenant or their employees, suppliers, customers or invitees to be loaded, unloaded or parked in the Property in areas not approved by the Landlord. Not abiding by this will be classified as a Parking Violation.</t>
  </si>
  <si>
    <t>The Tenant will not cause excessive noise and disturbances to other occupants of the Property, especially during late hours. The Landlord will notify the Tenant of such complaints.</t>
  </si>
  <si>
    <t>لن يتسبب المستأجر في إحداث ضوضاء وإزعاج مفرطة لشاغلي العقار الآخرين ، خاصة خلال ساعات العمل المتأخرة. يقوم المالك بإخطار المستأجر بهذه الشكاوى.</t>
  </si>
  <si>
    <t>Violations of Conditions</t>
  </si>
  <si>
    <t>مخالفات الشروط</t>
  </si>
  <si>
    <t>In case the Tenant does not abide by any conditions of stay, the Landlord has the right to impose a penalty of 5% of the monthly rent per violation, per day.</t>
  </si>
  <si>
    <t>في حالة عدم التزام المستأجر بأي شروط للإقامة ، يحق للمالك فرض غرامة قدرها 5٪ من الإيجار الشهري لكل مخالفة في اليوم.</t>
  </si>
  <si>
    <t>If the Tenant does not resolve the violation immediately, a daily penalty of 5% of the monthly rent will be imposed for each day the violation continues.</t>
  </si>
  <si>
    <t>إذا لم يقم المستأجر بحل المخالفة على الفور ، سيتم فرض غرامة يومية قدرها 5٪ من الإيجار الشهري عن كل يوم تستمر فيه المخالفة.</t>
  </si>
  <si>
    <t>If a specific violation exceeds 1 month from the date of warning, or if the Tenant receives signicant violations during their tenancy period, the Landlord has the right to terminate the lease agreement and the Tenant should vacate the unit immediately. Failure to do so will result in legal action being taken.</t>
  </si>
  <si>
    <t>إذا تجاوز الانتهاك المحدد شهرًا واحدًا من تاريخ التحذير ، أو إذا تلقى المستأجر انتهاكات جسيمة خلال فترة الإيجار ، يحق للمالك إنهاء عقد الإيجار ويجب على المستأجر إخلاء الوحدة على الفور. سيؤدي عدم القيام بذلك إلى اتخاذ إجراءات قانونية.</t>
  </si>
  <si>
    <t>In case of a Parking Violation by the Tenant, along with the daily penalty of 5% of the monthly rent, the Landlord shall have the right, without notice, to remove or tow away the vehicle involved and charge the costs to the Tenant.</t>
  </si>
  <si>
    <t>في حالة مخالفة المستأجر لوقوف السيارات ، بالإضافة إلى الغرامة اليومية البالغة 5٪ من الإيجار الشهري ، يحق للمالك ، دون سابق إنذار ، إزالة أو سحب السيارة المعنية وتحميل التكاليف على المستأجر.</t>
  </si>
  <si>
    <t>Access Cards and Building Amenities</t>
  </si>
  <si>
    <t>بطاقات الوصول ووسائل الراحة في المبنى</t>
  </si>
  <si>
    <t>The Landlord has the right to disconnect the Tenant's building access cards and all other amenities anytime in case the Tenant does not by abide by any of their tenancy requirements.</t>
  </si>
  <si>
    <t>Legal Action</t>
  </si>
  <si>
    <t>إجراءات قانونية</t>
  </si>
  <si>
    <t>The Tenant will be liable for all legal expenses borne by the Landlord in case of any violation of this tenancy.</t>
  </si>
  <si>
    <t>سيكون المستأجر مسؤولاً عن جميع النفقات القانونية التي يتحملها المالك في حالة حدوث أي انتهاك لهذا الإيجار.</t>
  </si>
  <si>
    <t>Maintenance and Repairs</t>
  </si>
  <si>
    <t>الصيانة والتصليح</t>
  </si>
  <si>
    <t>Tenant agrees to keep their Unit clean and takes responsibility for damages, window cleaning and all minor repairs. Minor repairs include replacing batteries, light bulbs and tubes.</t>
  </si>
  <si>
    <t>يوافق المستأجر على الحفاظ على نظافة وحدته ويتحمل مسؤولية الأضرار وتنظيف النوافذ وجميع الإصلاحات الطفيفة. تشمل الإصلاحات البسيطة استبدال البطاريات والمصابيح الكهربائية والأنابيب.</t>
  </si>
  <si>
    <t>Right of Entry</t>
  </si>
  <si>
    <t>حق الدخول</t>
  </si>
  <si>
    <t>In case of emergencies, the Landlord will attempt to contact the Tenant. If no response is received, the Landlord has the right to enter the Unit.</t>
  </si>
  <si>
    <t>في حالة الطوارئ ، سيحاول المالك الاتصال بالمستأجر. في حالة عدم تلقي أي رد ، يحق للمالك دخول الوحدة.</t>
  </si>
  <si>
    <t>Tenancy Renewal</t>
  </si>
  <si>
    <t>تجديد الإيجار</t>
  </si>
  <si>
    <t>The Landlord has the right to increase the monthly rent indefinitely during the tenancy renewal.</t>
  </si>
  <si>
    <t>للمالك الحق في زيادة الإيجار الشهري إلى أجل غير مسمى خلال تجديد عقد الإيجار.</t>
  </si>
  <si>
    <t>Before renewing the tenancy agreement, the Tenant will provide all required documentation, security deposit and post-dated cheques. Without these, the Tenant will be unable to renew their tenancy agreement.</t>
  </si>
  <si>
    <t>قبل تجديد عقد الإيجار ، سيقدم المستأجر جميع المستندات المطلوبة ووديعة الضمان والشيكات المؤجلة. بدون هذه الشروط ، لن يتمكن المستأجر من تجديد عقد الإيجار الخاص به.</t>
  </si>
  <si>
    <t>In case of a delay in renewal of the tenancy agreement due to the Tenant, the Tenant will be liable for the Muncipality renewal fee and all Municipality fines.</t>
  </si>
  <si>
    <t>في حالة التأخير في تجديد عقد الإيجار بسبب المستأجر ، سيكون المستأجر مسؤولاً عن رسوم تجديد البلدية وجميع غرامات البلدية.</t>
  </si>
  <si>
    <t>Vacating the Unit</t>
  </si>
  <si>
    <t>إخلاء الوحدة</t>
  </si>
  <si>
    <t>The Tenant must complete the full period of the tenancy agreement.</t>
  </si>
  <si>
    <t>يجب على المستأجر إكمال الفترة الكاملة لعقد الإيجار.</t>
  </si>
  <si>
    <t>If the Tenant wishes to vacate the Unit at the end of their tenancy agreement, a 90-day notice must be given to the Landlord by an official communication method.</t>
  </si>
  <si>
    <t>إذا رغب المستأجر في إخلاء الوحدة في نهاية عقد الإيجار ، فيجب تقديم إشعار لمدة 90 يومًا إلى المالك من خلال وسيلة اتصال رسمية.</t>
  </si>
  <si>
    <t>If the tenant gives less than a 90-day notice to vacate the Unit at the end of their tenancy agreement, the Tenant will be liable for rent for 90 days from the date of their official notice.</t>
  </si>
  <si>
    <t>إذا قدم المستأجر إشعارًا مدته أقل من 90 يومًا لإخلاء الوحدة في نهاية اتفاقية الإيجار ، فسيكون المستأجر مسؤولاً عن الإيجار لمدة 90 يومًا من تاريخ إخطاره الرسمي.</t>
  </si>
  <si>
    <t>The Landlord has the right to refuse the handover of the Unit after the end of the tenancy period if the Tenant has not cleared all their dues in full, including but not limited to: rent, utility bills and penalty fees.</t>
  </si>
  <si>
    <t>يحق للمالك رفض تسليم الوحدة بعد نهاية فترة الإيجار إذا لم يقم المستأجر بتصفية جميع مستحقاته بالكامل ، بما في ذلك على سبيل المثال لا الحصر: الإيجار وفواتير الخدمات ورسوم الغرامات.</t>
  </si>
  <si>
    <t>The Tenant will be obligated to pay rent and utility bills until the handover is completed by the Landlord.</t>
  </si>
  <si>
    <t>Handover of Unit</t>
  </si>
  <si>
    <t>تسليم الوحدة</t>
  </si>
  <si>
    <t>The Tenant must complete the handover form and return all keys and access cards to the Landlord's office before the tenancy agreement can be ended. The Landlord will issue a clearance form once this is completed. Without the clearance form, the Tenant will continue to be liable for all dues, including rent and utility bills.</t>
  </si>
  <si>
    <t>يجب على المستأجر إكمال نموذج التسليم وإعادة جميع المفاتيح وبطاقات الوصول إلى مكتب المالك قبل إنهاء عقد الإيجار. سيصدر المالك استمارة براءة ذمة بمجرد اكتمال ذلك. بدون نموذج التخليص ، سيظل المستأجر مسؤولاً عن جميع المستحقات ، بما في ذلك فواتير الإيجار والمرافق.</t>
  </si>
  <si>
    <t>The Tenant must return the Unit in the same condition that it was received at the start of the tenancy. Failure to do so will result in charges to the Tenant.</t>
  </si>
  <si>
    <t>يجب على المستأجر إعادة الوحدة بنفس الحالة التي تم استلامها بها في بداية عقد الإيجار. سيؤدي عدم القيام بذلك إلى فرض رسوم على المستأجر.</t>
  </si>
  <si>
    <t>The Tenant must have the Unit deep cleaned prior to handover. Failure to do so will result in a cleaning fee charged to the Tenant.</t>
  </si>
  <si>
    <t>يجب على المستأجر تنظيف الوحدة بعمق قبل التسليم. سيؤدي عدم القيام بذلك إلى فرض رسوم تنظيف على المستأجر.</t>
  </si>
  <si>
    <t>The Tenant will be responsible for any damages to the Unit or overall Property.</t>
  </si>
  <si>
    <t>سيكون المستأجر مسؤولاً عن أي أضرار تلحق بوحدة الملكية العامة.</t>
  </si>
  <si>
    <t>If the Tenant does not handover the Unit after the expiration of the tenancy agreement, they will be liable for a penalty fee of 3% of the monthly rent for every day, as well as the actual rent value for that period.</t>
  </si>
  <si>
    <t>إذا لم يسلم المستأجر الوحدة بعد انتهاء عقد الإيجار ، فسيكون مسؤولاً عن دفع غرامة قدرها 3٪ من الإيجار الشهري لكل يوم ، بالإضافة إلى قيمة الإيجار الفعلية لتلك الفترة.</t>
  </si>
  <si>
    <t>Fees and Taxes</t>
  </si>
  <si>
    <t>الرسوم والضرائب</t>
  </si>
  <si>
    <t>The Tenant is liable for all fees and taxes imposed by the government, including but not limited to VAT.</t>
  </si>
  <si>
    <t>المستأجر مسؤول عن جميع الرسوم والضرائب التي تفرضها الحكومة ، بما في ذلك على سبيل المثال لا الحصر ضريبة القيمة المضافة.</t>
  </si>
  <si>
    <t>Severability Clause</t>
  </si>
  <si>
    <t>شرط الفصل</t>
  </si>
  <si>
    <t>In case any provision in this agreement shall be invalid, the validity of the remaining terms and conditions shall not be impaired in any way.</t>
  </si>
  <si>
    <t>في حالة عدم صلاحية أي حكم في هذه الاتفاقية ، لن يتم المساس بصلاحية الشروط والأحكام المتبقية بأي شكل من الأشكال.</t>
  </si>
  <si>
    <t>Date :</t>
  </si>
  <si>
    <t xml:space="preserve">التاريخ : </t>
  </si>
  <si>
    <t>الرقم المدني :</t>
  </si>
  <si>
    <t>Civil No :</t>
  </si>
  <si>
    <t>رقم الجواز :</t>
  </si>
  <si>
    <t>Passport number:</t>
  </si>
  <si>
    <t>Declaration Form</t>
  </si>
  <si>
    <t>إقـــــــــــــــــــــــــــــرار</t>
  </si>
  <si>
    <t>I, the undersigned do hereby declare that the address mentioned hereunder is mu correct address for the purpose of sending all notices, correspondences, and publications.</t>
  </si>
  <si>
    <t>بهذا ا أقر  أنا  الموقع  أدناه  بأن  العنوان  الموضح  أدناه هو عنوان الاقامة    الصحيح    لي   لتوجيه   كافة   المراسلات  و   الإعلانات و الإخطارات إليه .</t>
  </si>
  <si>
    <t>I do hereby undertake to give notice / inform to the company in case of any change in my address mentioned below within seven days from the date of such change, otherwise my pervious recorded address in my company’s records shall be considered as my address for correspondence.</t>
  </si>
  <si>
    <t xml:space="preserve">كما  أتعهد  بإن  أخطر  الشركة  في  حالة  حدوث  أي  تغيير   في عنواني المذكور خلال سبعة أيام من تاريخ حدوث ذلك التغيير وإلا أعتبر عنواني السابق المسجل بسجلات الشركة عنواناً وصحيحاً لي للمراسلات </t>
  </si>
  <si>
    <t>العنوان الدائم</t>
  </si>
  <si>
    <t>PERMANENT ADDRESS</t>
  </si>
  <si>
    <t xml:space="preserve">Wilayat: </t>
  </si>
  <si>
    <t>Region:</t>
  </si>
  <si>
    <t xml:space="preserve">Village: </t>
  </si>
  <si>
    <t xml:space="preserve">Way No:  </t>
  </si>
  <si>
    <t xml:space="preserve">Building No: </t>
  </si>
  <si>
    <t xml:space="preserve">Nearest Landmark: </t>
  </si>
  <si>
    <t>Office No :</t>
  </si>
  <si>
    <t>GSM No :</t>
  </si>
  <si>
    <t>Post Box</t>
  </si>
  <si>
    <t>PC</t>
  </si>
  <si>
    <t>CURRENT ADDRESS (If different from the above address)</t>
  </si>
  <si>
    <t>العنوان الحالي : ( إذا كان مختلفاً عن العنوان المذكور أعلاه )</t>
  </si>
  <si>
    <t>الولاية :</t>
  </si>
  <si>
    <t>المنطقة :</t>
  </si>
  <si>
    <t xml:space="preserve">قرية : </t>
  </si>
  <si>
    <t xml:space="preserve">رقم السكة : </t>
  </si>
  <si>
    <t xml:space="preserve">الشارع : </t>
  </si>
  <si>
    <t>رقم المبنى / المنزل :</t>
  </si>
  <si>
    <t xml:space="preserve">أقرب معلم : </t>
  </si>
  <si>
    <t xml:space="preserve">هاتف المنزل : </t>
  </si>
  <si>
    <t>الهاتف النقال :</t>
  </si>
  <si>
    <t xml:space="preserve">البريد الإلكتروني </t>
  </si>
  <si>
    <t>صندوق البريد :</t>
  </si>
  <si>
    <t>الرمز البريدي :</t>
  </si>
  <si>
    <t xml:space="preserve">Street : </t>
  </si>
  <si>
    <t xml:space="preserve">الأسم : </t>
  </si>
  <si>
    <t xml:space="preserve">The Unit will be occupied only by the Tenant and their immediate family, and used only for residential purposes. </t>
  </si>
  <si>
    <t>سيتم شغل الوحدة من قبل المستأجر وعائلته المباشرة فقط ، وسيتم استخدامها فقط للأغراض السكنية.</t>
  </si>
  <si>
    <t>The Tenant will not make any changes to the leased Unit without approval from the Landlord. In case any changes are made without the Landlord's approval, the Landlord has the right to cancel the tenancy agreement.</t>
  </si>
  <si>
    <t>لن يقوم المستأجر بإجراء أي تغييرات على الوحدة المؤجرة دون موافقة المالك. في حالة إجراء أي تغييرات دون موافقة المالك ، يحق للمالك إلغاء عقد الإيجار.</t>
  </si>
  <si>
    <t>لا يجوز للمستأجر إلقاء القمامة أو إلقاء القمامة في أي جزء من العقار بأكمله ، أو إلقاء أي شيء من النوافذ أو الأبواب أو قنوات التهوية.</t>
  </si>
  <si>
    <t>يجب ألا يسمح المستأجر أو يسمح بأي مركبات تخص المستأجر أو يتحكم فيه أو موظفيه أو مورديه أو زبائنه أو مدعويهم أو تفريغها أو ركنها في العقار في مناطق لم يوافق عليها المالك. عدم الالتزام بهذا سوف يصنف على أنه مخالفة وقوف.</t>
  </si>
  <si>
    <t>يحق للمالك فصل بطاقات الوصول إلى المبنى الخاصة بالمستأجر وجميع وسائل الراحة الأخرى في أي وقت في حالة عدم التزام المستأجر بأي من متطلبات الإيجار الخاصة بهم.</t>
  </si>
  <si>
    <t>يلتزم المستأجر بدفع فواتير الإيجار والمرافق حتى اكتمال التسليم من قبل المالك.</t>
  </si>
  <si>
    <t>Extension of Tenancy Agreement (Document No. 2-A )</t>
  </si>
  <si>
    <t>ملحق عقد إيجار  (  مستند رقم  2 - أ )</t>
  </si>
  <si>
    <t xml:space="preserve">التوقيع  : </t>
  </si>
  <si>
    <t>Signature :</t>
  </si>
  <si>
    <t>Unit details:</t>
  </si>
  <si>
    <t xml:space="preserve">بيانات العقار: </t>
  </si>
  <si>
    <t>Electricity Meter Reading :</t>
  </si>
  <si>
    <t>Bill amount :</t>
  </si>
  <si>
    <t>مبلغ الفاتورة :</t>
  </si>
  <si>
    <t>Water Meter Reading :</t>
  </si>
  <si>
    <t>Furniture and appliances:</t>
  </si>
  <si>
    <t>الأثاث والأجهزة :</t>
  </si>
  <si>
    <t>Description</t>
  </si>
  <si>
    <t>العلامة التجارية  Brand</t>
  </si>
  <si>
    <t>الحالة Condition</t>
  </si>
  <si>
    <t>العدد Number</t>
  </si>
  <si>
    <t>وصف</t>
  </si>
  <si>
    <t>لا يعمل Invalid</t>
  </si>
  <si>
    <t>صالح Valid</t>
  </si>
  <si>
    <t>AC</t>
  </si>
  <si>
    <t>أجهزة التكييف</t>
  </si>
  <si>
    <t>AC remote</t>
  </si>
  <si>
    <t xml:space="preserve">جهاز التحكم بالتكييف </t>
  </si>
  <si>
    <t>Fire extinguishers</t>
  </si>
  <si>
    <t xml:space="preserve">طفايات الحريق </t>
  </si>
  <si>
    <t>Fire blanket</t>
  </si>
  <si>
    <t>بطانية الحريق</t>
  </si>
  <si>
    <t>Ceiling fans</t>
  </si>
  <si>
    <t xml:space="preserve">مراوح السقف </t>
  </si>
  <si>
    <t>Exhaust fans</t>
  </si>
  <si>
    <t>مراوح الشفط</t>
  </si>
  <si>
    <t>Lighting</t>
  </si>
  <si>
    <t xml:space="preserve">الإنارة </t>
  </si>
  <si>
    <t>Water heater</t>
  </si>
  <si>
    <t xml:space="preserve">سخان الماء </t>
  </si>
  <si>
    <t>Doors</t>
  </si>
  <si>
    <t xml:space="preserve">الأبواب </t>
  </si>
  <si>
    <t>Windows</t>
  </si>
  <si>
    <t xml:space="preserve">النوافذ </t>
  </si>
  <si>
    <t>Keys</t>
  </si>
  <si>
    <t xml:space="preserve">المفاتيح </t>
  </si>
  <si>
    <t>Internet router</t>
  </si>
  <si>
    <t>جهاز توجيه الإنترنت</t>
  </si>
  <si>
    <t>Bathrooms</t>
  </si>
  <si>
    <t xml:space="preserve">الحمامات </t>
  </si>
  <si>
    <t>Kitchen</t>
  </si>
  <si>
    <t>المطبخ</t>
  </si>
  <si>
    <t>………………………………………………………………………………………………………………………………………………………………………………</t>
  </si>
  <si>
    <t>Terms and conditions</t>
  </si>
  <si>
    <t xml:space="preserve">شروط وأحكام : </t>
  </si>
  <si>
    <t>Mobile No</t>
  </si>
  <si>
    <t>S123224</t>
  </si>
  <si>
    <t>Eviction date and readings:</t>
  </si>
  <si>
    <t>تاريخ الإخلاء و القراءات :</t>
  </si>
  <si>
    <t>Eviction date :</t>
  </si>
  <si>
    <t>تاريخ الإخلاء :</t>
  </si>
  <si>
    <t>These documents are an integral part of the lease agreement. It is referred to as Document No. 4.</t>
  </si>
  <si>
    <t>هذه المستندات جزء لا يتجزأ من اتفاقية الإيجار . يشار إليه باسم المستند رقم 4.</t>
  </si>
  <si>
    <t>The tenant acknowledges that he has returned the property in the above-mentioned case.</t>
  </si>
  <si>
    <t>يقر المستأجر بأنه أعاد العقار في الحالة المذكورة أعلاه.</t>
  </si>
  <si>
    <t>The tenant undertakes to pay the water and electricity bills until the reading indicated in this document. It also undertakes to be responsible for any amounts that may be added from service providers retroactively in the future as a result of their use between the received reading described in Document 1 and the reading described in this document. The lessor has the right to demand it in an amicable manner, and in case he does not respond, the lessee may take legal action with the lessee who bears all legal consequences and attorneys’ fees in full without any shortage.</t>
  </si>
  <si>
    <t>يتعهد المستأجر بدفع فواتير الماء والكهرباء حتى القراءة الموضحة في هذه الوثيقة. كما يتعهد بأن يكون مسؤول  عن أي مبالغ قد تضاف من مقدمي الخدمة بأثر رجعي في المستقبل نتيجة لاستخدامها بين القراءة المستلمة الموضحة في المستند 1 والقراءة الموضحة في هذا المستند. يحق للمؤجر المطالبة بها بطريقة ودية ، وفي حالة عدم رده ، يجوز للمستأجر اتخاذ إجراءات قانونية مع المستأجر الذي يتحمل جميع التبعات القانونية وأتعاب المحاماة بالكامل دون أي نقص.</t>
  </si>
  <si>
    <t>The rental unit is received from the tenant after completing all required documents, signing the cancellation form and paying all bills and rents. The landlord may not receive the keys until all the bills have been settled and the rent arrears paid. As a result, the tenant has to pay the rent until the day of the actual eviction and the receipt of the key by the landlord.</t>
  </si>
  <si>
    <t>يتم استلام العقار من المستأجر بعد استكمال جميع المستندات المطلوبة وتوقيع نموذج الإلغاء ودفع جميع الفواتير والإيجارات. لا يجوز للمالك استلام المفاتيح إلا بعد تسوية جميع الفواتير ودفع متأخرات الإيجار. نتيجة لذلك ، يتعين على المستأجر دفع الإيجار حتى يوم الإخلاء الفعلي واستلام المالك للمفتاح.</t>
  </si>
  <si>
    <t>The amount of the security deposit is returned after liquidation of all obligations and payment of all bills, as well as in the event that there are no defects or problems with the rental unit. resulting from neglect or misuse. And that is after a maximum of one week after signing this form.</t>
  </si>
  <si>
    <t>يتم إرجاع مبلغ التأمين بعد تصفية جميع الالتزامات ودفع جميع الفواتير ، وكذلك في حالة عدم وجود عيوب أو مشاكل في الوحدة المؤجرة. الناتجة عن الإهمال أو سوء الاستخدام. وذلك بعد أسبوع كحد أقصى بعد توقيع هذا النموذج.</t>
  </si>
  <si>
    <t>The images attached to this document are considered complementary to it and are an integral part of it, such as (images of service meters such as electricity and water, as well as images of the property itself and any other images).</t>
  </si>
  <si>
    <t>تعتبر الصور المرفقة بهذه الوثيقة مكملة لها وهي جزء لا يتجزأ منها مثل (صور عدادات الخدمة مثل الكهرباء والماء وكذلك صور العقار نفسه وأي صور أخرى).</t>
  </si>
  <si>
    <t>The tenant's signature on this form is evidence of everything contained therein, and he is responsible for it before the competent authorities.</t>
  </si>
  <si>
    <t>يعد توقيع المستأجر على هذا النموذج دليلاً على كل ما ورد فيها ، وهو مسؤول عنه أمام الجهات المختصة.</t>
  </si>
  <si>
    <t>ص.ب: 154 ، الرمز البريدي : 111 ،سلطنة عمان ، هاتف : 2449944841 968 + ، فاكس 24497482 968 +</t>
  </si>
  <si>
    <t xml:space="preserve">Mr.                </t>
  </si>
  <si>
    <t>الفاضل /                                      المحترم</t>
  </si>
  <si>
    <t>Mr. Director of Contracts Department</t>
  </si>
  <si>
    <t>الفاضل / مدير دائرة العقود                المحترم</t>
  </si>
  <si>
    <t>TENANCY CANCELLATION  ( Document No. 7 )</t>
  </si>
  <si>
    <t>طلب الغـــاء عقـــــد الايــجـــار  ( مستند رقم 7  )</t>
  </si>
  <si>
    <t>Date of termination of the tenancy agreement</t>
  </si>
  <si>
    <t>تاريخ إنهاء عقد الإيجار</t>
  </si>
  <si>
    <t>Date</t>
  </si>
  <si>
    <t>19/08/2022</t>
  </si>
  <si>
    <t>التاريخ</t>
  </si>
  <si>
    <t>I, the undersigned, certify that I am a tenant of the above-mentioned property, in accordance with the rental agreement concluded with the property owner, and because I do not wish to continue renting the property, I declare that the above-mentioned unit contract is null and void and does not entail any legal effects for me the rented unit, as of My signature on this letter, unless I do not settle the electricity, water and rent bills, this request is considered void and the place is my responsibility until I pay all the obligations and arrears and I must pay the rent until the day of handing over the property with all obligations settled.</t>
  </si>
  <si>
    <t>أنا الموقع أدناه أقر بأنني مستأجر للعقار المذكور بياناته أعلاه ، وذلك وفقًا لاتفاقية الإيجار المبرمة مع مالك العقار ، ولأنني لا أرغب في مواصلة في استأجار العقار ، أقر بأن عقد الوحدة المذكورة أعلاه باطل ولاغٍ ولا يترتب عليه أي آثار قانونية بالنسبة لي الوحدة المستأجرة ، اعتبارًا من توقيعي على هذا الخطاب ، إلا إذا لم اقم بتسوية فواتير الكهرباء والماء والإيجار ، هذا يعتبر الطلب باطلاً ويعتبر المكان على مسؤوليتي حتى أقوم بسداد جميع الالتزامات والمتأخرات ويجب علي دفع الإيجار حتى يوم تسليم العقار مع تسوية جميع الالتزامات.  .</t>
  </si>
  <si>
    <t>I also acknowledge that the owner, his agent, or his representative has the full right to rent the property whose contract has expired to whomever he wants at any time he wants it as he wants after the date of my signature on this letter, and he has the right to cut off electricity and water from the property immediately upon the termination of the aforementioned contract without referring to me, I waive my right to any objection or claim of rights.</t>
  </si>
  <si>
    <t>أقر أيضًا بأن للمالك أو وكيله أو من ينوب عنه الحق الكامل في تأجير العقار الذي انتهى عقده لمن يريد في أي وقت يريده كما يشاء بعد تاريخ توقيعي على هذه الرسالة ، ولديه الحق في قطع الكهرباء والماء عن العقار فور فسخ العقد سالف الذكر دون الرجوع إلي ، أتنازل عن حقي في أي اعتراض أو مطالبة بحقوق.</t>
  </si>
  <si>
    <t>I also acknowledge that the owner, his agent or his representative has the full right to throw everything inside the property, use it or resell it if he wishes to do so, unless I take it until the date of signing this document and I pledge not to claim from them whether it is a financial claim or any other claim.</t>
  </si>
  <si>
    <t>أقر أيضًا بأن للمالك أو وكيله أو من ينوب عنه له الحق الكامل في إلقاء كل ما هو داخل العقار أو استخدامه أو إعادة بيعه إذا رغب في ذلك ، ما لم آخذه حتى تاريخ توقيع هذه الوثيقة وأتعهد بعدم المطالبي لهم سواء كانت مطالبة مالية أو أية مطالبة أخرى..</t>
  </si>
  <si>
    <t>I also acknowledge that after signing this letter, I have no right of any kind in the property referred to above, whether it is a suspension of the right to lease or otherwise, and that the termination of the contract is on my responsibility.</t>
  </si>
  <si>
    <t>كما اقر بانني بعد توقيعي لهذا الخطاب ،  ليس لي أي حق مهما كان نوعه في العقار المشار اليه أعلاه ،  سواء تعليق في حق الإجارة أو غير ذلك وان فسخ العقد على مسؤوليتي .</t>
  </si>
  <si>
    <t>I fully acknowledge the contents of this application and sign it.</t>
  </si>
  <si>
    <t>أقر تمامًا بمحتويات هذا الطلب وأوقعه.</t>
  </si>
  <si>
    <t>SYED FAYYAZ GROUP INTERNATIONAL L L C</t>
  </si>
  <si>
    <t>`</t>
  </si>
  <si>
    <t>MQ Plot 369, Building 5240</t>
  </si>
  <si>
    <t>تسجيل دخول المستأجر (  مستند رقم 4 )</t>
  </si>
  <si>
    <t>Tenant Check-In (Document No. 4 )</t>
  </si>
  <si>
    <t>هذه الاستمارة هي جزء لا يتجزأ من اتفاقية الإيجار اللاحقة ويكملها وجميع الوثائق اللاحقة. يشار إليه باسم المستند رقم 4 .</t>
  </si>
  <si>
    <t>This form is an integral part of and complements the subsequent rental agreement and all subsequent documents. It is referred to as Document #4.</t>
  </si>
  <si>
    <t>تسجيل خروج المستأجر (  مستند رقم 5 )</t>
  </si>
  <si>
    <t>Tenant Check- out (Document No. 5 )</t>
  </si>
  <si>
    <t>Ali Salim  Al Sinani  - علي بن سالم السناني</t>
  </si>
  <si>
    <t xml:space="preserve"> Syed Fayyad  &amp; Abdul Qader  سيد فياض  و عبد القادر </t>
  </si>
  <si>
    <t xml:space="preserve">محمد بن سيد فياض - Mohammad Syed Fayyaz </t>
  </si>
  <si>
    <t>تأجير وحدة ( مستند رقم 1 )</t>
  </si>
  <si>
    <t>RENT A UNIT ( Documents No 1 )</t>
  </si>
  <si>
    <t>Index</t>
  </si>
  <si>
    <t>Page NO</t>
  </si>
  <si>
    <t>Details</t>
  </si>
  <si>
    <t>Municipal Agreement</t>
  </si>
  <si>
    <t>Personal Guarantee Form</t>
  </si>
  <si>
    <t>Tenant Check-In</t>
  </si>
  <si>
    <t>ID / Passport</t>
  </si>
  <si>
    <t>CR Papers</t>
  </si>
  <si>
    <t>PDC Cheque copies</t>
  </si>
  <si>
    <t>Water Account Number</t>
  </si>
  <si>
    <t>Electricity Account Number</t>
  </si>
  <si>
    <t>Serial Number</t>
  </si>
  <si>
    <t>Floor Details</t>
  </si>
  <si>
    <t>Unit (Flat, Shop)</t>
  </si>
  <si>
    <t>Location,Building</t>
  </si>
  <si>
    <t xml:space="preserve">Unit Details </t>
  </si>
  <si>
    <t>Unit (Flat,Office,Shop)</t>
  </si>
  <si>
    <t>الوحدة (شقة ، مكتب ، محل)</t>
  </si>
  <si>
    <t>تفاصيل الطابق :</t>
  </si>
  <si>
    <t>Flat</t>
  </si>
  <si>
    <t>VATIN OM1100300282</t>
  </si>
  <si>
    <t>Requirement</t>
  </si>
  <si>
    <t>المتطلبات</t>
  </si>
  <si>
    <t>#</t>
  </si>
  <si>
    <t>تاريخ الشيك - Checks date</t>
  </si>
  <si>
    <t>مبلغ الإيجار - Rental Amount</t>
  </si>
  <si>
    <t>الضريبة - VAT</t>
  </si>
  <si>
    <t>مبلغ الشيك - Check amount</t>
  </si>
  <si>
    <t>Details of checks and additional amounts</t>
  </si>
  <si>
    <t xml:space="preserve">تفاصيل الشيكات والمبالغ الإضافية </t>
  </si>
  <si>
    <t>التاريخ  -  date</t>
  </si>
  <si>
    <t>المبلغ  -  Amount</t>
  </si>
  <si>
    <t>الإجمالي - Total</t>
  </si>
  <si>
    <t>طريقة الدفع - Payment method</t>
  </si>
  <si>
    <t xml:space="preserve">شيك Check </t>
  </si>
  <si>
    <t>نقدأ Cash</t>
  </si>
  <si>
    <t>تحويل - Transfer</t>
  </si>
  <si>
    <t>This document is considered part of the contract, and it must be read with it.</t>
  </si>
  <si>
    <t>يعتبر هذا المستند جزء من العقد ، ويقرا معه .</t>
  </si>
  <si>
    <t>Tenant Name:</t>
  </si>
  <si>
    <t>Notes</t>
  </si>
  <si>
    <t>I declare to myself that I am the signatory of this contract that I have read, viewed and agreed to all the terms and laws in force in the Sayed Fayyaz  Group International and related to leasing. (To view the terms and conditions, scan the barcode or request a digital copy via WhatsApp 93555643)</t>
  </si>
  <si>
    <t>أقرعلى نفسي أنا الموقع على هذا العقد بإنني قد  قرأت وأطلعت ووافقت على كافة الشروط و القوانين المعمول بهاء في مجموعة سيد فياض العالمية و الخاصة بالتأجير . ( للإطلاع على الشروط والقوانين أمسح الباركود او اطلب نسخة رقمية عبر الواتساب 93555643 ).</t>
  </si>
  <si>
    <t>هذا النموذج هو جزء لا يتجزأ من اتفاقية الإيجار ، وعقد البلدية ، وشروط الإيجار المعمول بها ، وبتوقيعه ، أوافق على تجديد عقد الإيجار بنفس الشروط السابقة أو ما سيتم تحديثه من قبل إدارة العقار.</t>
  </si>
  <si>
    <t>This form is an integral part of the rental agreement, the municipal contract, and the applicable rental conditions, and by signing it, I agree to renew the rental contract with the same previous conditions or what will be updated by the property management.</t>
  </si>
  <si>
    <t xml:space="preserve">الشروط والأحكام لتأجير للوحدات ( الشخصية )   </t>
  </si>
  <si>
    <t>Terms and conditions for renting  units ( personal )</t>
  </si>
  <si>
    <t>هذا النموذج هو جزء لا يتجزأ من اتفاقية الإيجار ، وعقد البلدية ، وشروط الإيجار ، وبتوقيعه ، أوافق على تسجيل عقد الإيجار بالشروط المعمول بهاء أو ما سيتم تحديثه من قبل إدارة العقار.  ( للإطلاع على الشروط والقوانين أمسح الباركود او اطلب نسخة رقمية عبر الواتساب 93555643 )</t>
  </si>
  <si>
    <t>This form is an integral part of the lease agreement, the municipal contract, and the terms of the lease, and by signing it, I agree to register the lease with the applicable terms or what will be updated by the property management.(To view the terms and conditions, scan the barcode or request a digital copy via WhatsApp 93555643)</t>
  </si>
  <si>
    <t>Husin Ali Al Sinani  - حسين بن علي السناني</t>
  </si>
  <si>
    <t>Security deposit</t>
  </si>
  <si>
    <t>Third Floor</t>
  </si>
  <si>
    <t>Rent Cheques</t>
  </si>
  <si>
    <t xml:space="preserve">ID Card </t>
  </si>
  <si>
    <t>Ljina Sultan Sulaiman AlMahrouqi</t>
  </si>
  <si>
    <t>Q137673</t>
  </si>
  <si>
    <t>4355</t>
  </si>
  <si>
    <r>
      <t xml:space="preserve">The Rent cheques should be under </t>
    </r>
    <r>
      <rPr>
        <b/>
        <u/>
        <sz val="12"/>
        <color theme="1"/>
        <rFont val="Calibri"/>
        <family val="2"/>
        <scheme val="minor"/>
      </rPr>
      <t>Mohammad Syed Fayyaz Ali</t>
    </r>
    <r>
      <rPr>
        <sz val="12"/>
        <color theme="1"/>
        <rFont val="Calibri"/>
        <family val="2"/>
        <scheme val="minor"/>
      </rPr>
      <t xml:space="preserve"> name     
شيكات الايجار يجب عن تكون بإسم</t>
    </r>
    <r>
      <rPr>
        <b/>
        <u/>
        <sz val="12"/>
        <color theme="1"/>
        <rFont val="Calibri"/>
        <family val="2"/>
        <scheme val="minor"/>
      </rPr>
      <t xml:space="preserve"> محمد سيد فياض علي</t>
    </r>
    <r>
      <rPr>
        <sz val="12"/>
        <color theme="1"/>
        <rFont val="Calibri"/>
        <family val="2"/>
        <scheme val="minor"/>
      </rPr>
      <t xml:space="preserve">    </t>
    </r>
  </si>
  <si>
    <t> 91707091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</si>
</sst>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OMR]\ #,##0.00"/>
    <numFmt numFmtId="165" formatCode="yyyy\-mm\-dd;@"/>
    <numFmt numFmtId="166" formatCode="[$-2000401]0"/>
    <numFmt numFmtId="167" formatCode="[$-409]d\-mmm\-yy;@"/>
  </numFmts>
  <fonts count="66">
    <font>
      <sz val="11"/>
      <color theme="1"/>
      <name val="Calibri"/>
      <family val="2"/>
      <charset val="17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8"/>
      <color theme="1"/>
      <name val="Calibri"/>
      <family val="2"/>
      <scheme val="minor"/>
    </font>
    <font>
      <b/>
      <sz val="12"/>
      <color theme="1"/>
      <name val="Calibri"/>
      <family val="2"/>
      <scheme val="minor"/>
    </font>
    <font>
      <b/>
      <sz val="16"/>
      <color rgb="FF0070C0"/>
      <name val="Calibri"/>
      <family val="2"/>
      <scheme val="minor"/>
    </font>
    <font>
      <b/>
      <sz val="12"/>
      <color theme="3" tint="-0.249977111117893"/>
      <name val="Calibri"/>
      <family val="2"/>
      <scheme val="minor"/>
    </font>
    <font>
      <sz val="12"/>
      <color theme="1"/>
      <name val="Calibri"/>
      <family val="2"/>
      <scheme val="minor"/>
    </font>
    <font>
      <sz val="10"/>
      <color theme="1"/>
      <name val="mohammad bold art 1"/>
      <charset val="178"/>
    </font>
    <font>
      <sz val="10"/>
      <color theme="1"/>
      <name val="Cambria"/>
      <family val="1"/>
      <scheme val="major"/>
    </font>
    <font>
      <sz val="10"/>
      <color theme="1"/>
      <name val="Calibri"/>
      <family val="2"/>
      <charset val="178"/>
      <scheme val="minor"/>
    </font>
    <font>
      <u/>
      <sz val="7.7"/>
      <color theme="10"/>
      <name val="Calibri"/>
      <family val="2"/>
    </font>
    <font>
      <sz val="11"/>
      <color theme="1"/>
      <name val="Calibri"/>
      <family val="2"/>
    </font>
    <font>
      <sz val="10"/>
      <color theme="1"/>
      <name val="Calibri"/>
      <family val="2"/>
      <scheme val="minor"/>
    </font>
    <font>
      <sz val="12"/>
      <color rgb="FFFF0000"/>
      <name val="Calibri"/>
      <family val="2"/>
      <scheme val="minor"/>
    </font>
    <font>
      <sz val="8"/>
      <name val="Calibri"/>
      <family val="2"/>
      <charset val="178"/>
      <scheme val="minor"/>
    </font>
    <font>
      <b/>
      <sz val="12"/>
      <color rgb="FFFF0000"/>
      <name val="Calibri"/>
      <family val="2"/>
      <scheme val="minor"/>
    </font>
    <font>
      <b/>
      <sz val="11"/>
      <color rgb="FFFF0000"/>
      <name val="Calibri"/>
      <family val="2"/>
      <scheme val="minor"/>
    </font>
    <font>
      <b/>
      <sz val="9"/>
      <color theme="1"/>
      <name val="Calibri"/>
      <family val="2"/>
      <scheme val="minor"/>
    </font>
    <font>
      <b/>
      <sz val="10"/>
      <color rgb="FFFF0000"/>
      <name val="Cambria"/>
      <family val="1"/>
      <scheme val="major"/>
    </font>
    <font>
      <b/>
      <sz val="12"/>
      <color rgb="FFFF0000"/>
      <name val="Cambria"/>
      <family val="1"/>
      <scheme val="major"/>
    </font>
    <font>
      <b/>
      <sz val="12"/>
      <color theme="1"/>
      <name val="Cambria"/>
      <family val="1"/>
      <scheme val="major"/>
    </font>
    <font>
      <sz val="12"/>
      <color theme="1"/>
      <name val="Cambria"/>
      <family val="1"/>
      <scheme val="major"/>
    </font>
    <font>
      <b/>
      <u/>
      <sz val="11"/>
      <color theme="1"/>
      <name val="Cambria"/>
      <family val="1"/>
      <scheme val="major"/>
    </font>
    <font>
      <b/>
      <sz val="11"/>
      <color rgb="FFFF0000"/>
      <name val="Cambria"/>
      <family val="1"/>
      <scheme val="major"/>
    </font>
    <font>
      <b/>
      <sz val="11"/>
      <color theme="1"/>
      <name val="Cambria"/>
      <family val="1"/>
      <scheme val="major"/>
    </font>
    <font>
      <b/>
      <sz val="10"/>
      <color theme="1"/>
      <name val="Cambria"/>
      <family val="1"/>
      <scheme val="major"/>
    </font>
    <font>
      <sz val="10"/>
      <color theme="3" tint="-0.249977111117893"/>
      <name val="Cambria"/>
      <family val="1"/>
      <scheme val="major"/>
    </font>
    <font>
      <b/>
      <sz val="8"/>
      <color theme="1"/>
      <name val="Cambria"/>
      <family val="1"/>
      <scheme val="major"/>
    </font>
    <font>
      <b/>
      <sz val="9"/>
      <color theme="1"/>
      <name val="Cambria"/>
      <family val="1"/>
      <scheme val="major"/>
    </font>
    <font>
      <b/>
      <sz val="11"/>
      <color theme="1"/>
      <name val="Calibri"/>
      <family val="2"/>
      <scheme val="minor"/>
    </font>
    <font>
      <b/>
      <sz val="15"/>
      <color rgb="FFFF0000"/>
      <name val="Calibri"/>
      <family val="2"/>
      <scheme val="minor"/>
    </font>
    <font>
      <b/>
      <sz val="8"/>
      <color theme="1"/>
      <name val="Calibri"/>
      <family val="2"/>
      <scheme val="minor"/>
    </font>
    <font>
      <sz val="7.5"/>
      <color theme="1"/>
      <name val="Calibri"/>
      <family val="2"/>
      <scheme val="minor"/>
    </font>
    <font>
      <b/>
      <sz val="10"/>
      <color rgb="FF000000"/>
      <name val="Calibri"/>
      <family val="2"/>
      <scheme val="minor"/>
    </font>
    <font>
      <b/>
      <sz val="13"/>
      <color rgb="FF000000"/>
      <name val="Cambria"/>
      <family val="1"/>
      <scheme val="major"/>
    </font>
    <font>
      <b/>
      <sz val="13"/>
      <color rgb="FF000000"/>
      <name val="Calibri"/>
      <family val="2"/>
      <scheme val="minor"/>
    </font>
    <font>
      <sz val="12"/>
      <color theme="1"/>
      <name val="Calibri"/>
      <family val="2"/>
      <charset val="178"/>
      <scheme val="minor"/>
    </font>
    <font>
      <b/>
      <sz val="12"/>
      <color rgb="FF0070C0"/>
      <name val="Calibri"/>
      <family val="2"/>
      <scheme val="minor"/>
    </font>
    <font>
      <b/>
      <sz val="12"/>
      <color rgb="FF0070C0"/>
      <name val="Californian FB"/>
      <family val="1"/>
    </font>
    <font>
      <b/>
      <sz val="12"/>
      <color rgb="FFFF0000"/>
      <name val="mohammad bold art 1"/>
      <charset val="178"/>
    </font>
    <font>
      <b/>
      <sz val="12"/>
      <color theme="1"/>
      <name val="Californian FB"/>
      <family val="1"/>
    </font>
    <font>
      <b/>
      <sz val="12"/>
      <color theme="1"/>
      <name val="mohammad bold art 1"/>
      <charset val="178"/>
    </font>
    <font>
      <sz val="12"/>
      <color theme="1"/>
      <name val="mohammad bold art 1"/>
      <charset val="178"/>
    </font>
    <font>
      <b/>
      <sz val="10"/>
      <color rgb="FFFF0000"/>
      <name val="mohammad bold art 1"/>
      <charset val="178"/>
    </font>
    <font>
      <sz val="12"/>
      <name val="Cambria"/>
      <family val="1"/>
      <scheme val="major"/>
    </font>
    <font>
      <sz val="10"/>
      <name val="mohammad bold art 1"/>
      <charset val="178"/>
    </font>
    <font>
      <sz val="12"/>
      <name val="mohammad bold art 1"/>
      <charset val="178"/>
    </font>
    <font>
      <sz val="12"/>
      <color rgb="FFFF0000"/>
      <name val="mohammad bold art 1"/>
      <charset val="178"/>
    </font>
    <font>
      <b/>
      <sz val="12"/>
      <color theme="1"/>
      <name val="Cambria"/>
      <family val="1"/>
      <charset val="178"/>
      <scheme val="major"/>
    </font>
    <font>
      <sz val="9"/>
      <color theme="1"/>
      <name val="Cambria"/>
      <family val="1"/>
      <scheme val="major"/>
    </font>
    <font>
      <b/>
      <sz val="16"/>
      <color theme="3" tint="-0.249977111117893"/>
      <name val="Calibri"/>
      <family val="2"/>
      <scheme val="minor"/>
    </font>
    <font>
      <b/>
      <sz val="14"/>
      <color rgb="FF000000"/>
      <name val="Calibri"/>
      <family val="2"/>
    </font>
    <font>
      <sz val="14"/>
      <color rgb="FF000000"/>
      <name val="Calibri"/>
      <family val="2"/>
    </font>
    <font>
      <b/>
      <sz val="14"/>
      <color theme="1"/>
      <name val="Times New Roman"/>
      <family val="1"/>
    </font>
    <font>
      <b/>
      <sz val="14"/>
      <color theme="1"/>
      <name val="Calibri"/>
      <family val="2"/>
      <scheme val="minor"/>
    </font>
    <font>
      <b/>
      <sz val="14"/>
      <color rgb="FFFF0000"/>
      <name val="Times New Roman"/>
      <family val="1"/>
    </font>
    <font>
      <sz val="11"/>
      <color theme="1"/>
      <name val="Cambria"/>
      <family val="1"/>
      <scheme val="major"/>
    </font>
    <font>
      <sz val="14"/>
      <color theme="1"/>
      <name val="Cambria"/>
      <family val="1"/>
      <scheme val="major"/>
    </font>
    <font>
      <b/>
      <sz val="16"/>
      <color rgb="FFFF0000"/>
      <name val="Calibri"/>
      <family val="2"/>
      <scheme val="minor"/>
    </font>
    <font>
      <b/>
      <u/>
      <sz val="12"/>
      <color theme="1"/>
      <name val="Calibri"/>
      <family val="2"/>
      <scheme val="minor"/>
    </font>
  </fonts>
  <fills count="11">
    <fill>
      <patternFill patternType="none"/>
    </fill>
    <fill>
      <patternFill patternType="gray125"/>
    </fill>
    <fill>
      <patternFill patternType="solid">
        <fgColor theme="0" tint="-0.249977111117893"/>
        <bgColor indexed="64"/>
      </patternFill>
    </fill>
    <fill>
      <patternFill patternType="solid">
        <fgColor theme="0"/>
        <bgColor indexed="64"/>
      </patternFill>
    </fill>
    <fill>
      <patternFill patternType="solid">
        <fgColor rgb="FFFFFFFF"/>
        <bgColor rgb="FFF2F2F2"/>
      </patternFill>
    </fill>
    <fill>
      <patternFill patternType="solid">
        <fgColor theme="2" tint="-9.9978637043366805E-2"/>
        <bgColor indexed="64"/>
      </patternFill>
    </fill>
    <fill>
      <patternFill patternType="solid">
        <fgColor theme="5" tint="0.59999389629810485"/>
        <bgColor indexed="64"/>
      </patternFill>
    </fill>
    <fill>
      <patternFill patternType="solid">
        <fgColor theme="6" tint="0.59999389629810485"/>
        <bgColor indexed="64"/>
      </patternFill>
    </fill>
    <fill>
      <patternFill patternType="solid">
        <fgColor theme="2" tint="-0.249977111117893"/>
        <bgColor indexed="64"/>
      </patternFill>
    </fill>
    <fill>
      <patternFill patternType="solid">
        <fgColor rgb="FFF2F2F2"/>
        <bgColor indexed="64"/>
      </patternFill>
    </fill>
    <fill>
      <patternFill patternType="solid">
        <fgColor rgb="FFFFFFFF"/>
        <bgColor indexed="64"/>
      </patternFill>
    </fill>
  </fills>
  <borders count="64">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3" tint="0.79998168889431442"/>
      </left>
      <right style="thin">
        <color theme="3" tint="0.79998168889431442"/>
      </right>
      <top style="thin">
        <color theme="3" tint="0.79998168889431442"/>
      </top>
      <bottom style="thin">
        <color theme="3" tint="0.79998168889431442"/>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right/>
      <top/>
      <bottom style="thin">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thin">
        <color indexed="64"/>
      </left>
      <right/>
      <top/>
      <bottom/>
      <diagonal/>
    </border>
    <border>
      <left/>
      <right style="thin">
        <color indexed="64"/>
      </right>
      <top/>
      <bottom/>
      <diagonal/>
    </border>
    <border>
      <left style="thin">
        <color indexed="64"/>
      </left>
      <right style="medium">
        <color indexed="64"/>
      </right>
      <top/>
      <bottom/>
      <diagonal/>
    </border>
    <border>
      <left style="medium">
        <color indexed="64"/>
      </left>
      <right style="medium">
        <color indexed="64"/>
      </right>
      <top/>
      <bottom style="medium">
        <color indexed="64"/>
      </bottom>
      <diagonal/>
    </border>
  </borders>
  <cellStyleXfs count="2">
    <xf numFmtId="0" fontId="0" fillId="0" borderId="0"/>
    <xf numFmtId="0" fontId="16" fillId="0" borderId="0" applyNumberFormat="0" applyFill="0" applyBorder="0" applyAlignment="0" applyProtection="0">
      <alignment vertical="top"/>
      <protection locked="0"/>
    </xf>
  </cellStyleXfs>
  <cellXfs count="502">
    <xf numFmtId="0" fontId="0" fillId="0" borderId="0" xfId="0"/>
    <xf numFmtId="0" fontId="0" fillId="0" borderId="0" xfId="0" applyAlignment="1">
      <alignment horizontal="center" vertical="center"/>
    </xf>
    <xf numFmtId="0" fontId="14" fillId="0" borderId="9" xfId="0" applyFont="1" applyBorder="1" applyAlignment="1">
      <alignment horizontal="center" wrapText="1" readingOrder="1"/>
    </xf>
    <xf numFmtId="0" fontId="13" fillId="0" borderId="9" xfId="0" applyFont="1" applyBorder="1" applyAlignment="1">
      <alignment horizontal="center" wrapText="1" readingOrder="1"/>
    </xf>
    <xf numFmtId="0" fontId="13" fillId="0" borderId="9" xfId="0" applyFont="1" applyBorder="1" applyAlignment="1">
      <alignment horizontal="center" wrapText="1" readingOrder="2"/>
    </xf>
    <xf numFmtId="0" fontId="15" fillId="0" borderId="0" xfId="0" applyFont="1" applyAlignment="1">
      <alignment horizontal="center"/>
    </xf>
    <xf numFmtId="0" fontId="15" fillId="0" borderId="0" xfId="0" applyFont="1" applyAlignment="1">
      <alignment horizontal="center" vertical="center"/>
    </xf>
    <xf numFmtId="0" fontId="17" fillId="3" borderId="12" xfId="1" applyNumberFormat="1" applyFont="1" applyFill="1" applyBorder="1" applyAlignment="1" applyProtection="1">
      <alignment horizontal="center" vertical="center"/>
    </xf>
    <xf numFmtId="0" fontId="12" fillId="0" borderId="0" xfId="0" applyFont="1" applyAlignment="1">
      <alignment vertical="center"/>
    </xf>
    <xf numFmtId="0" fontId="7" fillId="0" borderId="0" xfId="0" applyFont="1"/>
    <xf numFmtId="0" fontId="12" fillId="0" borderId="0" xfId="0" applyFont="1"/>
    <xf numFmtId="0" fontId="15" fillId="0" borderId="9" xfId="0" applyFont="1" applyBorder="1" applyAlignment="1">
      <alignment horizontal="center"/>
    </xf>
    <xf numFmtId="0" fontId="9" fillId="5" borderId="16" xfId="0" applyFont="1" applyFill="1" applyBorder="1" applyAlignment="1">
      <alignment horizontal="center" vertical="center"/>
    </xf>
    <xf numFmtId="166" fontId="9" fillId="5" borderId="18" xfId="0" applyNumberFormat="1" applyFont="1" applyFill="1" applyBorder="1" applyAlignment="1">
      <alignment horizontal="center" vertical="center"/>
    </xf>
    <xf numFmtId="166" fontId="9" fillId="5" borderId="23" xfId="0" applyNumberFormat="1" applyFont="1" applyFill="1" applyBorder="1" applyAlignment="1">
      <alignment horizontal="center" vertical="center"/>
    </xf>
    <xf numFmtId="0" fontId="6" fillId="0" borderId="0" xfId="0" applyFont="1"/>
    <xf numFmtId="0" fontId="7" fillId="0" borderId="0" xfId="0" applyFont="1" applyAlignment="1">
      <alignment vertical="center"/>
    </xf>
    <xf numFmtId="0" fontId="14" fillId="0" borderId="0" xfId="0" applyFont="1"/>
    <xf numFmtId="0" fontId="14" fillId="0" borderId="0" xfId="0" applyFont="1" applyAlignment="1">
      <alignment wrapText="1" readingOrder="2"/>
    </xf>
    <xf numFmtId="0" fontId="14" fillId="0" borderId="0" xfId="0" applyFont="1" applyAlignment="1">
      <alignment vertical="top" wrapText="1" readingOrder="2"/>
    </xf>
    <xf numFmtId="0" fontId="14" fillId="0" borderId="0" xfId="0" applyFont="1" applyAlignment="1">
      <alignment vertical="top" wrapText="1"/>
    </xf>
    <xf numFmtId="0" fontId="31" fillId="0" borderId="9" xfId="0" applyFont="1" applyBorder="1" applyAlignment="1">
      <alignment horizontal="center" vertical="center"/>
    </xf>
    <xf numFmtId="0" fontId="31" fillId="0" borderId="16" xfId="0" applyFont="1" applyBorder="1" applyAlignment="1">
      <alignment horizontal="center" vertical="center"/>
    </xf>
    <xf numFmtId="0" fontId="31" fillId="0" borderId="17" xfId="0" applyFont="1" applyBorder="1" applyAlignment="1">
      <alignment horizontal="center" vertical="center"/>
    </xf>
    <xf numFmtId="0" fontId="31" fillId="0" borderId="17" xfId="0" applyFont="1" applyBorder="1" applyAlignment="1">
      <alignment horizontal="right" vertical="center" wrapText="1" readingOrder="2"/>
    </xf>
    <xf numFmtId="0" fontId="31" fillId="0" borderId="18" xfId="0" applyFont="1" applyBorder="1" applyAlignment="1">
      <alignment horizontal="right" vertical="center"/>
    </xf>
    <xf numFmtId="0" fontId="31" fillId="0" borderId="19" xfId="0" applyFont="1" applyBorder="1" applyAlignment="1">
      <alignment horizontal="center" vertical="center"/>
    </xf>
    <xf numFmtId="0" fontId="31" fillId="0" borderId="20" xfId="0" applyFont="1" applyBorder="1" applyAlignment="1">
      <alignment horizontal="right" vertical="center"/>
    </xf>
    <xf numFmtId="0" fontId="34" fillId="0" borderId="19" xfId="0" applyFont="1" applyBorder="1" applyAlignment="1">
      <alignment horizontal="center" vertical="center" wrapText="1"/>
    </xf>
    <xf numFmtId="0" fontId="33" fillId="0" borderId="20" xfId="0" applyFont="1" applyBorder="1" applyAlignment="1">
      <alignment horizontal="right" vertical="center"/>
    </xf>
    <xf numFmtId="0" fontId="31" fillId="0" borderId="21" xfId="0" applyFont="1" applyBorder="1" applyAlignment="1">
      <alignment horizontal="center" vertical="center"/>
    </xf>
    <xf numFmtId="0" fontId="31" fillId="0" borderId="22" xfId="0" applyFont="1" applyBorder="1" applyAlignment="1">
      <alignment horizontal="center" vertical="center"/>
    </xf>
    <xf numFmtId="0" fontId="31" fillId="0" borderId="22" xfId="0" applyFont="1" applyBorder="1" applyAlignment="1">
      <alignment horizontal="right" vertical="center" wrapText="1"/>
    </xf>
    <xf numFmtId="0" fontId="34" fillId="0" borderId="23" xfId="0" applyFont="1" applyBorder="1" applyAlignment="1">
      <alignment horizontal="right" vertical="center"/>
    </xf>
    <xf numFmtId="0" fontId="31" fillId="0" borderId="36" xfId="0" applyFont="1" applyBorder="1" applyAlignment="1">
      <alignment horizontal="center" vertical="center"/>
    </xf>
    <xf numFmtId="0" fontId="31" fillId="0" borderId="10" xfId="0" applyFont="1" applyBorder="1" applyAlignment="1">
      <alignment horizontal="center" vertical="center"/>
    </xf>
    <xf numFmtId="0" fontId="31" fillId="0" borderId="24" xfId="0" applyFont="1" applyBorder="1" applyAlignment="1">
      <alignment horizontal="center" vertical="center"/>
    </xf>
    <xf numFmtId="0" fontId="31" fillId="0" borderId="16" xfId="0" applyFont="1" applyBorder="1" applyAlignment="1">
      <alignment horizontal="right" vertical="center" wrapText="1" readingOrder="2"/>
    </xf>
    <xf numFmtId="0" fontId="31" fillId="0" borderId="21" xfId="0" applyFont="1" applyBorder="1" applyAlignment="1">
      <alignment horizontal="right" vertical="center" wrapText="1"/>
    </xf>
    <xf numFmtId="0" fontId="31" fillId="0" borderId="19" xfId="0" applyFont="1" applyBorder="1" applyAlignment="1">
      <alignment horizontal="center" vertical="center" wrapText="1"/>
    </xf>
    <xf numFmtId="0" fontId="31" fillId="0" borderId="18" xfId="0" applyFont="1" applyBorder="1" applyAlignment="1">
      <alignment horizontal="center" vertical="center"/>
    </xf>
    <xf numFmtId="0" fontId="31" fillId="0" borderId="20" xfId="0" applyFont="1" applyBorder="1" applyAlignment="1">
      <alignment horizontal="center" vertical="center"/>
    </xf>
    <xf numFmtId="0" fontId="33" fillId="0" borderId="20" xfId="0" applyFont="1" applyBorder="1" applyAlignment="1">
      <alignment horizontal="center" vertical="center"/>
    </xf>
    <xf numFmtId="0" fontId="33" fillId="0" borderId="23" xfId="0" applyFont="1" applyBorder="1" applyAlignment="1">
      <alignment horizontal="center" vertical="center"/>
    </xf>
    <xf numFmtId="0" fontId="31" fillId="0" borderId="16" xfId="0" applyFont="1" applyBorder="1" applyAlignment="1">
      <alignment horizontal="center" vertical="center" wrapText="1" readingOrder="2"/>
    </xf>
    <xf numFmtId="0" fontId="31" fillId="0" borderId="17" xfId="0" applyFont="1" applyBorder="1" applyAlignment="1">
      <alignment horizontal="center" vertical="center" wrapText="1" readingOrder="2"/>
    </xf>
    <xf numFmtId="0" fontId="31" fillId="0" borderId="21" xfId="0" applyFont="1" applyBorder="1" applyAlignment="1">
      <alignment horizontal="center" vertical="center" wrapText="1"/>
    </xf>
    <xf numFmtId="0" fontId="31" fillId="0" borderId="22" xfId="0" applyFont="1" applyBorder="1" applyAlignment="1">
      <alignment horizontal="center" vertical="center" wrapText="1"/>
    </xf>
    <xf numFmtId="0" fontId="11" fillId="0" borderId="0" xfId="0" applyFont="1" applyAlignment="1">
      <alignment horizontal="center" vertical="center"/>
    </xf>
    <xf numFmtId="0" fontId="4" fillId="0" borderId="0" xfId="0" applyFont="1"/>
    <xf numFmtId="0" fontId="9" fillId="0" borderId="0" xfId="0" applyFont="1" applyAlignment="1">
      <alignment vertical="center"/>
    </xf>
    <xf numFmtId="0" fontId="4" fillId="0" borderId="0" xfId="0" applyFont="1" applyAlignment="1">
      <alignment wrapText="1"/>
    </xf>
    <xf numFmtId="0" fontId="12" fillId="0" borderId="19" xfId="0" applyFont="1" applyBorder="1" applyAlignment="1">
      <alignment horizontal="left" vertical="center" wrapText="1" readingOrder="1"/>
    </xf>
    <xf numFmtId="0" fontId="12" fillId="0" borderId="20" xfId="0" applyFont="1" applyBorder="1" applyAlignment="1">
      <alignment vertical="center" wrapText="1" readingOrder="2"/>
    </xf>
    <xf numFmtId="0" fontId="4" fillId="0" borderId="20" xfId="0" applyFont="1" applyBorder="1" applyAlignment="1">
      <alignment vertical="center" wrapText="1" readingOrder="2"/>
    </xf>
    <xf numFmtId="0" fontId="12" fillId="0" borderId="21" xfId="0" applyFont="1" applyBorder="1" applyAlignment="1">
      <alignment horizontal="left" vertical="center" wrapText="1" readingOrder="1"/>
    </xf>
    <xf numFmtId="0" fontId="12" fillId="0" borderId="23" xfId="0" applyFont="1" applyBorder="1" applyAlignment="1">
      <alignment vertical="center" wrapText="1" readingOrder="2"/>
    </xf>
    <xf numFmtId="0" fontId="8" fillId="6" borderId="13" xfId="0" applyFont="1" applyFill="1" applyBorder="1" applyAlignment="1">
      <alignment horizontal="center" vertical="center" wrapText="1"/>
    </xf>
    <xf numFmtId="0" fontId="18" fillId="7" borderId="15" xfId="0" applyFont="1" applyFill="1" applyBorder="1" applyAlignment="1">
      <alignment horizontal="center" vertical="center" wrapText="1"/>
    </xf>
    <xf numFmtId="0" fontId="12" fillId="0" borderId="49" xfId="0" applyFont="1" applyBorder="1" applyAlignment="1">
      <alignment horizontal="left" vertical="center" wrapText="1" readingOrder="1"/>
    </xf>
    <xf numFmtId="0" fontId="12" fillId="6" borderId="49" xfId="0" applyFont="1" applyFill="1" applyBorder="1" applyAlignment="1">
      <alignment vertical="center" wrapText="1" readingOrder="1"/>
    </xf>
    <xf numFmtId="0" fontId="12" fillId="7" borderId="35" xfId="0" applyFont="1" applyFill="1" applyBorder="1" applyAlignment="1">
      <alignment vertical="center" wrapText="1" readingOrder="1"/>
    </xf>
    <xf numFmtId="0" fontId="12" fillId="0" borderId="50" xfId="0" applyFont="1" applyBorder="1" applyAlignment="1">
      <alignment horizontal="left" vertical="center" wrapText="1" readingOrder="1"/>
    </xf>
    <xf numFmtId="0" fontId="12" fillId="0" borderId="50" xfId="0" applyFont="1" applyBorder="1" applyAlignment="1">
      <alignment horizontal="center" vertical="center" wrapText="1"/>
    </xf>
    <xf numFmtId="0" fontId="12" fillId="0" borderId="41" xfId="0" applyFont="1" applyBorder="1" applyAlignment="1">
      <alignment horizontal="left" vertical="center" wrapText="1" readingOrder="1"/>
    </xf>
    <xf numFmtId="0" fontId="12" fillId="6" borderId="41" xfId="0" applyFont="1" applyFill="1" applyBorder="1" applyAlignment="1">
      <alignment vertical="center" wrapText="1" readingOrder="1"/>
    </xf>
    <xf numFmtId="0" fontId="12" fillId="7" borderId="20" xfId="0" applyFont="1" applyFill="1" applyBorder="1" applyAlignment="1">
      <alignment vertical="center" wrapText="1" readingOrder="1"/>
    </xf>
    <xf numFmtId="0" fontId="12" fillId="0" borderId="43" xfId="0" applyFont="1" applyBorder="1" applyAlignment="1">
      <alignment horizontal="left" vertical="center" wrapText="1" readingOrder="1"/>
    </xf>
    <xf numFmtId="0" fontId="12" fillId="0" borderId="43" xfId="0" applyFont="1" applyBorder="1" applyAlignment="1">
      <alignment horizontal="center" vertical="center" wrapText="1"/>
    </xf>
    <xf numFmtId="0" fontId="12" fillId="0" borderId="51" xfId="0" applyFont="1" applyBorder="1" applyAlignment="1">
      <alignment horizontal="left" vertical="center" wrapText="1" readingOrder="1"/>
    </xf>
    <xf numFmtId="0" fontId="12" fillId="6" borderId="51" xfId="0" applyFont="1" applyFill="1" applyBorder="1" applyAlignment="1">
      <alignment vertical="center" wrapText="1" readingOrder="1"/>
    </xf>
    <xf numFmtId="0" fontId="12" fillId="7" borderId="52" xfId="0" applyFont="1" applyFill="1" applyBorder="1" applyAlignment="1">
      <alignment vertical="center" wrapText="1" readingOrder="1"/>
    </xf>
    <xf numFmtId="0" fontId="12" fillId="0" borderId="53" xfId="0" applyFont="1" applyBorder="1" applyAlignment="1">
      <alignment horizontal="left" vertical="center" wrapText="1" readingOrder="1"/>
    </xf>
    <xf numFmtId="0" fontId="12" fillId="0" borderId="53" xfId="0" applyFont="1" applyBorder="1" applyAlignment="1">
      <alignment horizontal="center" vertical="center" wrapText="1"/>
    </xf>
    <xf numFmtId="0" fontId="35" fillId="2" borderId="29" xfId="0" applyFont="1" applyFill="1" applyBorder="1" applyAlignment="1">
      <alignment vertical="center" wrapText="1"/>
    </xf>
    <xf numFmtId="0" fontId="35" fillId="2" borderId="30" xfId="0" applyFont="1" applyFill="1" applyBorder="1" applyAlignment="1">
      <alignment vertical="center" wrapText="1"/>
    </xf>
    <xf numFmtId="0" fontId="35" fillId="2" borderId="3" xfId="0" applyFont="1" applyFill="1" applyBorder="1" applyAlignment="1">
      <alignment vertical="center" wrapText="1"/>
    </xf>
    <xf numFmtId="0" fontId="4" fillId="0" borderId="0" xfId="0" applyFont="1" applyAlignment="1">
      <alignment horizontal="center"/>
    </xf>
    <xf numFmtId="0" fontId="4" fillId="3" borderId="6" xfId="0" applyFont="1" applyFill="1" applyBorder="1" applyAlignment="1">
      <alignment horizontal="center" wrapText="1"/>
    </xf>
    <xf numFmtId="0" fontId="4" fillId="3" borderId="7" xfId="0" applyFont="1" applyFill="1" applyBorder="1" applyAlignment="1">
      <alignment horizontal="center" wrapText="1"/>
    </xf>
    <xf numFmtId="0" fontId="4" fillId="3" borderId="8" xfId="0" applyFont="1" applyFill="1" applyBorder="1" applyAlignment="1">
      <alignment horizontal="center" wrapText="1"/>
    </xf>
    <xf numFmtId="0" fontId="12" fillId="0" borderId="0" xfId="0" applyFont="1" applyAlignment="1">
      <alignment horizontal="left" vertical="center" wrapText="1" readingOrder="1"/>
    </xf>
    <xf numFmtId="0" fontId="12" fillId="0" borderId="0" xfId="0" applyFont="1" applyAlignment="1">
      <alignment horizontal="right" vertical="center" wrapText="1" readingOrder="2"/>
    </xf>
    <xf numFmtId="0" fontId="12" fillId="0" borderId="0" xfId="0" applyFont="1" applyAlignment="1">
      <alignment vertical="center" wrapText="1" readingOrder="2"/>
    </xf>
    <xf numFmtId="0" fontId="12" fillId="0" borderId="0" xfId="0" applyFont="1" applyAlignment="1">
      <alignment vertical="center" wrapText="1"/>
    </xf>
    <xf numFmtId="0" fontId="12" fillId="0" borderId="0" xfId="0" applyFont="1" applyAlignment="1">
      <alignment horizontal="right" vertical="center" readingOrder="2"/>
    </xf>
    <xf numFmtId="0" fontId="12" fillId="0" borderId="0" xfId="0" applyFont="1" applyAlignment="1">
      <alignment vertical="center" readingOrder="2"/>
    </xf>
    <xf numFmtId="0" fontId="12" fillId="0" borderId="0" xfId="0" applyFont="1" applyAlignment="1">
      <alignment horizontal="right" readingOrder="2"/>
    </xf>
    <xf numFmtId="0" fontId="12" fillId="0" borderId="0" xfId="0" applyFont="1" applyAlignment="1">
      <alignment readingOrder="2"/>
    </xf>
    <xf numFmtId="0" fontId="42" fillId="0" borderId="0" xfId="0" applyFont="1" applyAlignment="1">
      <alignment vertical="center"/>
    </xf>
    <xf numFmtId="0" fontId="46" fillId="0" borderId="0" xfId="0" applyFont="1" applyAlignment="1">
      <alignment vertical="center"/>
    </xf>
    <xf numFmtId="0" fontId="26" fillId="3" borderId="21" xfId="0" applyFont="1" applyFill="1" applyBorder="1" applyAlignment="1">
      <alignment horizontal="left" vertical="center" readingOrder="1"/>
    </xf>
    <xf numFmtId="0" fontId="47" fillId="3" borderId="23" xfId="0" applyFont="1" applyFill="1" applyBorder="1" applyAlignment="1">
      <alignment horizontal="right" vertical="center"/>
    </xf>
    <xf numFmtId="0" fontId="0" fillId="0" borderId="0" xfId="0" applyAlignment="1">
      <alignment wrapText="1"/>
    </xf>
    <xf numFmtId="0" fontId="27" fillId="0" borderId="19" xfId="0" applyFont="1" applyBorder="1" applyAlignment="1">
      <alignment horizontal="left" vertical="center" wrapText="1" readingOrder="1"/>
    </xf>
    <xf numFmtId="0" fontId="48" fillId="0" borderId="20" xfId="0" applyFont="1" applyBorder="1" applyAlignment="1">
      <alignment horizontal="right" vertical="center" wrapText="1" readingOrder="2"/>
    </xf>
    <xf numFmtId="0" fontId="50" fillId="0" borderId="19" xfId="0" applyFont="1" applyBorder="1" applyAlignment="1">
      <alignment horizontal="left" vertical="center" wrapText="1" readingOrder="1"/>
    </xf>
    <xf numFmtId="0" fontId="51" fillId="0" borderId="20" xfId="0" applyFont="1" applyBorder="1" applyAlignment="1">
      <alignment horizontal="right" vertical="center" wrapText="1" readingOrder="2"/>
    </xf>
    <xf numFmtId="0" fontId="52" fillId="0" borderId="20" xfId="0" applyFont="1" applyBorder="1" applyAlignment="1">
      <alignment horizontal="right" vertical="center" wrapText="1" readingOrder="2"/>
    </xf>
    <xf numFmtId="0" fontId="50" fillId="0" borderId="21" xfId="0" applyFont="1" applyBorder="1" applyAlignment="1">
      <alignment horizontal="left" vertical="center" wrapText="1" readingOrder="1"/>
    </xf>
    <xf numFmtId="0" fontId="52" fillId="0" borderId="23" xfId="0" applyFont="1" applyBorder="1" applyAlignment="1">
      <alignment horizontal="right" vertical="center" wrapText="1" readingOrder="2"/>
    </xf>
    <xf numFmtId="0" fontId="42" fillId="0" borderId="0" xfId="0" applyFont="1" applyAlignment="1">
      <alignment horizontal="left" vertical="center" wrapText="1" readingOrder="1"/>
    </xf>
    <xf numFmtId="0" fontId="42" fillId="0" borderId="0" xfId="0" applyFont="1" applyAlignment="1">
      <alignment horizontal="right" vertical="center" wrapText="1" readingOrder="2"/>
    </xf>
    <xf numFmtId="0" fontId="42" fillId="0" borderId="0" xfId="0" applyFont="1" applyAlignment="1">
      <alignment vertical="center" wrapText="1"/>
    </xf>
    <xf numFmtId="0" fontId="42" fillId="0" borderId="0" xfId="0" applyFont="1"/>
    <xf numFmtId="0" fontId="42" fillId="0" borderId="0" xfId="0" applyFont="1" applyAlignment="1">
      <alignment horizontal="right" readingOrder="2"/>
    </xf>
    <xf numFmtId="0" fontId="31" fillId="0" borderId="19" xfId="0" applyFont="1" applyBorder="1" applyAlignment="1">
      <alignment horizontal="center" vertical="center" wrapText="1" readingOrder="2"/>
    </xf>
    <xf numFmtId="0" fontId="31" fillId="0" borderId="9" xfId="0" applyFont="1" applyBorder="1" applyAlignment="1">
      <alignment horizontal="center" vertical="center" wrapText="1" readingOrder="2"/>
    </xf>
    <xf numFmtId="0" fontId="31" fillId="0" borderId="19" xfId="0" applyFont="1" applyBorder="1" applyAlignment="1">
      <alignment horizontal="right" vertical="center" wrapText="1" readingOrder="2"/>
    </xf>
    <xf numFmtId="0" fontId="31" fillId="0" borderId="9" xfId="0" applyFont="1" applyBorder="1" applyAlignment="1">
      <alignment horizontal="right" vertical="center" wrapText="1" readingOrder="2"/>
    </xf>
    <xf numFmtId="0" fontId="35" fillId="0" borderId="0" xfId="0" applyFont="1"/>
    <xf numFmtId="0" fontId="35" fillId="0" borderId="0" xfId="0" applyFont="1" applyAlignment="1">
      <alignment wrapText="1"/>
    </xf>
    <xf numFmtId="0" fontId="21" fillId="0" borderId="9" xfId="0" applyFont="1" applyBorder="1" applyAlignment="1" applyProtection="1">
      <alignment horizontal="center" vertical="center" wrapText="1" readingOrder="1"/>
      <protection hidden="1"/>
    </xf>
    <xf numFmtId="0" fontId="9" fillId="2" borderId="14" xfId="0" applyFont="1" applyFill="1" applyBorder="1" applyAlignment="1" applyProtection="1">
      <alignment vertical="center" wrapText="1" readingOrder="1"/>
      <protection hidden="1"/>
    </xf>
    <xf numFmtId="0" fontId="9" fillId="5" borderId="13" xfId="0" applyFont="1" applyFill="1" applyBorder="1" applyAlignment="1">
      <alignment horizontal="center" vertical="center"/>
    </xf>
    <xf numFmtId="0" fontId="12" fillId="0" borderId="0" xfId="0" applyFont="1" applyAlignment="1">
      <alignment horizontal="center"/>
    </xf>
    <xf numFmtId="0" fontId="12" fillId="0" borderId="47" xfId="0" applyFont="1" applyBorder="1" applyAlignment="1">
      <alignment horizontal="left" vertical="center" wrapText="1" readingOrder="1"/>
    </xf>
    <xf numFmtId="0" fontId="12" fillId="6" borderId="47" xfId="0" applyFont="1" applyFill="1" applyBorder="1" applyAlignment="1">
      <alignment vertical="center" wrapText="1" readingOrder="1"/>
    </xf>
    <xf numFmtId="0" fontId="12" fillId="7" borderId="18" xfId="0" applyFont="1" applyFill="1" applyBorder="1" applyAlignment="1">
      <alignment vertical="center" wrapText="1" readingOrder="1"/>
    </xf>
    <xf numFmtId="0" fontId="12" fillId="0" borderId="48" xfId="0" applyFont="1" applyBorder="1" applyAlignment="1">
      <alignment horizontal="left" vertical="center" wrapText="1" readingOrder="1"/>
    </xf>
    <xf numFmtId="0" fontId="12" fillId="0" borderId="48" xfId="0" applyFont="1" applyBorder="1" applyAlignment="1">
      <alignment horizontal="center" vertical="center" wrapText="1"/>
    </xf>
    <xf numFmtId="0" fontId="12" fillId="0" borderId="55" xfId="0" applyFont="1" applyBorder="1" applyAlignment="1">
      <alignment horizontal="left" vertical="center" wrapText="1" readingOrder="1"/>
    </xf>
    <xf numFmtId="0" fontId="12" fillId="6" borderId="55" xfId="0" applyFont="1" applyFill="1" applyBorder="1" applyAlignment="1">
      <alignment vertical="center" wrapText="1" readingOrder="1"/>
    </xf>
    <xf numFmtId="0" fontId="12" fillId="7" borderId="23" xfId="0" applyFont="1" applyFill="1" applyBorder="1" applyAlignment="1">
      <alignment vertical="center" wrapText="1" readingOrder="1"/>
    </xf>
    <xf numFmtId="0" fontId="12" fillId="0" borderId="56" xfId="0" applyFont="1" applyBorder="1" applyAlignment="1">
      <alignment horizontal="left" vertical="center" wrapText="1" readingOrder="1"/>
    </xf>
    <xf numFmtId="0" fontId="12" fillId="0" borderId="56" xfId="0" applyFont="1" applyBorder="1" applyAlignment="1">
      <alignment horizontal="center" vertical="center" wrapText="1"/>
    </xf>
    <xf numFmtId="0" fontId="34" fillId="5" borderId="13" xfId="0" applyFont="1" applyFill="1" applyBorder="1" applyAlignment="1">
      <alignment horizontal="center" vertical="center"/>
    </xf>
    <xf numFmtId="166" fontId="34" fillId="5" borderId="15" xfId="0" applyNumberFormat="1" applyFont="1" applyFill="1" applyBorder="1" applyAlignment="1">
      <alignment horizontal="center" vertical="center"/>
    </xf>
    <xf numFmtId="0" fontId="55" fillId="0" borderId="34" xfId="0" applyFont="1" applyBorder="1" applyAlignment="1">
      <alignment horizontal="center" vertical="center"/>
    </xf>
    <xf numFmtId="0" fontId="34" fillId="0" borderId="35" xfId="0" applyFont="1" applyBorder="1" applyAlignment="1">
      <alignment horizontal="center" vertical="center"/>
    </xf>
    <xf numFmtId="0" fontId="55" fillId="0" borderId="19" xfId="0" applyFont="1" applyBorder="1" applyAlignment="1">
      <alignment horizontal="center" vertical="center"/>
    </xf>
    <xf numFmtId="0" fontId="34" fillId="0" borderId="20" xfId="0" applyFont="1" applyBorder="1" applyAlignment="1">
      <alignment horizontal="center" vertical="center"/>
    </xf>
    <xf numFmtId="0" fontId="55" fillId="0" borderId="58" xfId="0" applyFont="1" applyBorder="1" applyAlignment="1">
      <alignment horizontal="center" vertical="center"/>
    </xf>
    <xf numFmtId="0" fontId="34" fillId="0" borderId="52" xfId="0" applyFont="1" applyBorder="1" applyAlignment="1">
      <alignment horizontal="center" vertical="center"/>
    </xf>
    <xf numFmtId="0" fontId="55" fillId="0" borderId="59" xfId="0" applyFont="1" applyBorder="1" applyAlignment="1">
      <alignment horizontal="center" vertical="center"/>
    </xf>
    <xf numFmtId="0" fontId="34" fillId="0" borderId="62" xfId="0" applyFont="1" applyBorder="1" applyAlignment="1">
      <alignment horizontal="center" vertical="center"/>
    </xf>
    <xf numFmtId="0" fontId="34" fillId="5" borderId="19" xfId="0" applyFont="1" applyFill="1" applyBorder="1" applyAlignment="1">
      <alignment horizontal="center" vertical="center"/>
    </xf>
    <xf numFmtId="166" fontId="34" fillId="5" borderId="20" xfId="0" applyNumberFormat="1" applyFont="1" applyFill="1" applyBorder="1" applyAlignment="1">
      <alignment horizontal="center" vertical="center"/>
    </xf>
    <xf numFmtId="0" fontId="2" fillId="0" borderId="0" xfId="0" applyFont="1"/>
    <xf numFmtId="0" fontId="57" fillId="9" borderId="57" xfId="0" applyFont="1" applyFill="1" applyBorder="1" applyAlignment="1">
      <alignment horizontal="center" vertical="center"/>
    </xf>
    <xf numFmtId="0" fontId="58" fillId="10" borderId="57" xfId="0" applyFont="1" applyFill="1" applyBorder="1" applyAlignment="1">
      <alignment horizontal="center" vertical="center"/>
    </xf>
    <xf numFmtId="0" fontId="59" fillId="0" borderId="57" xfId="0" applyFont="1" applyBorder="1" applyAlignment="1">
      <alignment horizontal="center" vertical="center" wrapText="1"/>
    </xf>
    <xf numFmtId="0" fontId="60" fillId="0" borderId="0" xfId="0" applyFont="1"/>
    <xf numFmtId="0" fontId="59" fillId="0" borderId="63" xfId="0" applyFont="1" applyBorder="1" applyAlignment="1">
      <alignment horizontal="center" vertical="center" wrapText="1"/>
    </xf>
    <xf numFmtId="0" fontId="9" fillId="0" borderId="9" xfId="0" applyFont="1" applyBorder="1" applyAlignment="1" applyProtection="1">
      <alignment horizontal="center" vertical="center"/>
      <protection hidden="1"/>
    </xf>
    <xf numFmtId="0" fontId="12" fillId="0" borderId="57" xfId="0" applyFont="1" applyBorder="1" applyAlignment="1">
      <alignment horizontal="center" vertical="center" wrapText="1" readingOrder="1"/>
    </xf>
    <xf numFmtId="0" fontId="12" fillId="0" borderId="57" xfId="0" applyFont="1" applyBorder="1" applyAlignment="1">
      <alignment horizontal="center" vertical="center" wrapText="1" readingOrder="2"/>
    </xf>
    <xf numFmtId="0" fontId="9" fillId="0" borderId="9" xfId="0" applyFont="1" applyBorder="1" applyProtection="1">
      <protection hidden="1"/>
    </xf>
    <xf numFmtId="0" fontId="1" fillId="0" borderId="0" xfId="0" applyFont="1"/>
    <xf numFmtId="0" fontId="12" fillId="2" borderId="57" xfId="0" applyFont="1" applyFill="1" applyBorder="1" applyAlignment="1">
      <alignment horizontal="center" vertical="center" wrapText="1" readingOrder="1"/>
    </xf>
    <xf numFmtId="0" fontId="12" fillId="2" borderId="29" xfId="0" applyFont="1" applyFill="1" applyBorder="1" applyAlignment="1">
      <alignment horizontal="center" vertical="center" wrapText="1" readingOrder="2"/>
    </xf>
    <xf numFmtId="164" fontId="19" fillId="0" borderId="57" xfId="0" applyNumberFormat="1" applyFont="1" applyBorder="1" applyAlignment="1">
      <alignment horizontal="center" vertical="center" wrapText="1" readingOrder="1"/>
    </xf>
    <xf numFmtId="164" fontId="12" fillId="0" borderId="29" xfId="0" applyNumberFormat="1" applyFont="1" applyBorder="1" applyAlignment="1">
      <alignment horizontal="center" vertical="center" wrapText="1" readingOrder="2"/>
    </xf>
    <xf numFmtId="0" fontId="12" fillId="2" borderId="57" xfId="0" applyFont="1" applyFill="1" applyBorder="1" applyAlignment="1">
      <alignment horizontal="center" vertical="center" wrapText="1" readingOrder="2"/>
    </xf>
    <xf numFmtId="0" fontId="30" fillId="8" borderId="57" xfId="0" applyFont="1" applyFill="1" applyBorder="1" applyAlignment="1">
      <alignment horizontal="center" vertical="center"/>
    </xf>
    <xf numFmtId="166" fontId="30" fillId="5" borderId="57" xfId="0" applyNumberFormat="1" applyFont="1" applyFill="1" applyBorder="1" applyAlignment="1">
      <alignment horizontal="center" vertical="center"/>
    </xf>
    <xf numFmtId="0" fontId="62" fillId="8" borderId="57" xfId="0" applyFont="1" applyFill="1" applyBorder="1" applyAlignment="1">
      <alignment horizontal="center" vertical="center"/>
    </xf>
    <xf numFmtId="166" fontId="9" fillId="5" borderId="62" xfId="0" applyNumberFormat="1" applyFont="1" applyFill="1" applyBorder="1" applyAlignment="1">
      <alignment horizontal="center" vertical="center"/>
    </xf>
    <xf numFmtId="167" fontId="12" fillId="0" borderId="57" xfId="0" applyNumberFormat="1" applyFont="1" applyBorder="1" applyAlignment="1">
      <alignment horizontal="center" vertical="center" wrapText="1" readingOrder="1"/>
    </xf>
    <xf numFmtId="167" fontId="18" fillId="0" borderId="57" xfId="0" applyNumberFormat="1" applyFont="1" applyBorder="1" applyAlignment="1">
      <alignment horizontal="center" vertical="center" wrapText="1" readingOrder="1"/>
    </xf>
    <xf numFmtId="0" fontId="10" fillId="0" borderId="0" xfId="0" applyFont="1" applyAlignment="1">
      <alignment horizontal="center" vertical="center"/>
    </xf>
    <xf numFmtId="0" fontId="11" fillId="0" borderId="0" xfId="0" applyFont="1" applyAlignment="1">
      <alignment horizontal="center" vertical="center"/>
    </xf>
    <xf numFmtId="0" fontId="56" fillId="2" borderId="29" xfId="0" applyFont="1" applyFill="1" applyBorder="1" applyAlignment="1">
      <alignment horizontal="center" vertical="center"/>
    </xf>
    <xf numFmtId="0" fontId="56" fillId="2" borderId="30" xfId="0" applyFont="1" applyFill="1" applyBorder="1" applyAlignment="1">
      <alignment horizontal="center" vertical="center"/>
    </xf>
    <xf numFmtId="0" fontId="56" fillId="2" borderId="33" xfId="0" applyFont="1" applyFill="1" applyBorder="1" applyAlignment="1">
      <alignment horizontal="center" vertical="center"/>
    </xf>
    <xf numFmtId="0" fontId="61" fillId="0" borderId="29" xfId="0" applyFont="1" applyBorder="1" applyAlignment="1">
      <alignment horizontal="center" vertical="center" wrapText="1"/>
    </xf>
    <xf numFmtId="0" fontId="61" fillId="0" borderId="30" xfId="0" applyFont="1" applyBorder="1" applyAlignment="1">
      <alignment horizontal="center" vertical="center" wrapText="1"/>
    </xf>
    <xf numFmtId="0" fontId="61" fillId="0" borderId="33" xfId="0" applyFont="1" applyBorder="1" applyAlignment="1">
      <alignment horizontal="center" vertical="center" wrapText="1"/>
    </xf>
    <xf numFmtId="0" fontId="59" fillId="0" borderId="29" xfId="0" applyFont="1" applyBorder="1" applyAlignment="1">
      <alignment horizontal="center" vertical="center" wrapText="1"/>
    </xf>
    <xf numFmtId="0" fontId="59" fillId="0" borderId="30" xfId="0" applyFont="1" applyBorder="1" applyAlignment="1">
      <alignment horizontal="center" vertical="center" wrapText="1"/>
    </xf>
    <xf numFmtId="0" fontId="59" fillId="0" borderId="33" xfId="0" applyFont="1" applyBorder="1" applyAlignment="1">
      <alignment horizontal="center" vertical="center" wrapText="1"/>
    </xf>
    <xf numFmtId="0" fontId="58" fillId="10" borderId="57" xfId="0" applyFont="1" applyFill="1" applyBorder="1" applyAlignment="1">
      <alignment horizontal="center" vertical="center"/>
    </xf>
    <xf numFmtId="0" fontId="57" fillId="9" borderId="57" xfId="0" applyFont="1" applyFill="1" applyBorder="1" applyAlignment="1">
      <alignment horizontal="center" vertical="center"/>
    </xf>
    <xf numFmtId="0" fontId="9" fillId="2" borderId="26" xfId="0" applyFont="1" applyFill="1" applyBorder="1" applyAlignment="1">
      <alignment horizontal="center" vertical="center" wrapText="1" readingOrder="1"/>
    </xf>
    <xf numFmtId="0" fontId="9" fillId="2" borderId="27" xfId="0" applyFont="1" applyFill="1" applyBorder="1" applyAlignment="1">
      <alignment horizontal="center" vertical="center" wrapText="1" readingOrder="1"/>
    </xf>
    <xf numFmtId="0" fontId="12" fillId="0" borderId="17" xfId="0" applyFont="1" applyBorder="1" applyAlignment="1" applyProtection="1">
      <alignment horizontal="center" vertical="center" wrapText="1" readingOrder="2"/>
      <protection hidden="1"/>
    </xf>
    <xf numFmtId="0" fontId="12" fillId="0" borderId="18" xfId="0" applyFont="1" applyBorder="1" applyAlignment="1" applyProtection="1">
      <alignment horizontal="center" vertical="center" wrapText="1" readingOrder="2"/>
      <protection hidden="1"/>
    </xf>
    <xf numFmtId="0" fontId="12" fillId="0" borderId="19" xfId="0" applyFont="1" applyBorder="1" applyAlignment="1" applyProtection="1">
      <alignment horizontal="center" vertical="center" wrapText="1" readingOrder="1"/>
      <protection hidden="1"/>
    </xf>
    <xf numFmtId="0" fontId="12" fillId="0" borderId="9" xfId="0" applyFont="1" applyBorder="1" applyAlignment="1" applyProtection="1">
      <alignment horizontal="center" vertical="center" wrapText="1" readingOrder="1"/>
      <protection hidden="1"/>
    </xf>
    <xf numFmtId="0" fontId="12" fillId="0" borderId="9" xfId="0" applyFont="1" applyBorder="1" applyAlignment="1" applyProtection="1">
      <alignment horizontal="center" vertical="center" wrapText="1" readingOrder="2"/>
      <protection hidden="1"/>
    </xf>
    <xf numFmtId="0" fontId="12" fillId="0" borderId="20" xfId="0" applyFont="1" applyBorder="1" applyAlignment="1" applyProtection="1">
      <alignment horizontal="center" vertical="center" wrapText="1" readingOrder="2"/>
      <protection hidden="1"/>
    </xf>
    <xf numFmtId="165" fontId="9" fillId="0" borderId="9" xfId="0" applyNumberFormat="1" applyFont="1" applyBorder="1" applyAlignment="1" applyProtection="1">
      <alignment horizontal="center" vertical="center" wrapText="1" readingOrder="1"/>
      <protection hidden="1"/>
    </xf>
    <xf numFmtId="49" fontId="9" fillId="0" borderId="9" xfId="0" applyNumberFormat="1" applyFont="1" applyBorder="1" applyAlignment="1" applyProtection="1">
      <alignment horizontal="center" vertical="center" wrapText="1" readingOrder="1"/>
      <protection hidden="1"/>
    </xf>
    <xf numFmtId="0" fontId="12" fillId="0" borderId="1" xfId="0" applyFont="1" applyBorder="1" applyAlignment="1">
      <alignment horizontal="center" vertical="center" wrapText="1"/>
    </xf>
    <xf numFmtId="0" fontId="12" fillId="0" borderId="2" xfId="0" applyFont="1" applyBorder="1" applyAlignment="1">
      <alignment horizontal="center" vertical="center"/>
    </xf>
    <xf numFmtId="0" fontId="12" fillId="0" borderId="3" xfId="0" applyFont="1" applyBorder="1" applyAlignment="1">
      <alignment horizontal="center" vertical="center"/>
    </xf>
    <xf numFmtId="0" fontId="12" fillId="0" borderId="6" xfId="0" applyFont="1" applyBorder="1" applyAlignment="1">
      <alignment horizontal="center" vertical="center"/>
    </xf>
    <xf numFmtId="0" fontId="12" fillId="0" borderId="7" xfId="0" applyFont="1" applyBorder="1" applyAlignment="1">
      <alignment horizontal="center" vertical="center"/>
    </xf>
    <xf numFmtId="0" fontId="12" fillId="0" borderId="8" xfId="0" applyFont="1" applyBorder="1" applyAlignment="1">
      <alignment horizontal="center" vertical="center"/>
    </xf>
    <xf numFmtId="0" fontId="9" fillId="2" borderId="13" xfId="0" applyFont="1" applyFill="1" applyBorder="1" applyAlignment="1" applyProtection="1">
      <alignment horizontal="center" vertical="center" wrapText="1" readingOrder="1"/>
      <protection hidden="1"/>
    </xf>
    <xf numFmtId="0" fontId="9" fillId="2" borderId="14" xfId="0" applyFont="1" applyFill="1" applyBorder="1" applyAlignment="1" applyProtection="1">
      <alignment horizontal="center" vertical="center" wrapText="1" readingOrder="1"/>
      <protection hidden="1"/>
    </xf>
    <xf numFmtId="164" fontId="21" fillId="0" borderId="17" xfId="0" applyNumberFormat="1" applyFont="1" applyBorder="1" applyAlignment="1" applyProtection="1">
      <alignment horizontal="center" vertical="center" wrapText="1" readingOrder="1"/>
      <protection hidden="1"/>
    </xf>
    <xf numFmtId="0" fontId="12" fillId="0" borderId="22" xfId="0" applyFont="1" applyBorder="1" applyAlignment="1" applyProtection="1">
      <alignment horizontal="center" vertical="center" wrapText="1" readingOrder="2"/>
      <protection hidden="1"/>
    </xf>
    <xf numFmtId="0" fontId="12" fillId="0" borderId="23" xfId="0" applyFont="1" applyBorder="1" applyAlignment="1" applyProtection="1">
      <alignment horizontal="center" vertical="center" wrapText="1" readingOrder="2"/>
      <protection hidden="1"/>
    </xf>
    <xf numFmtId="0" fontId="9" fillId="2" borderId="14" xfId="0" applyFont="1" applyFill="1" applyBorder="1" applyAlignment="1" applyProtection="1">
      <alignment horizontal="center" vertical="center" wrapText="1" readingOrder="2"/>
      <protection hidden="1"/>
    </xf>
    <xf numFmtId="0" fontId="9" fillId="2" borderId="15" xfId="0" applyFont="1" applyFill="1" applyBorder="1" applyAlignment="1" applyProtection="1">
      <alignment horizontal="center" vertical="center" wrapText="1" readingOrder="2"/>
      <protection hidden="1"/>
    </xf>
    <xf numFmtId="0" fontId="12" fillId="0" borderId="16" xfId="0" applyFont="1" applyBorder="1" applyAlignment="1" applyProtection="1">
      <alignment horizontal="center" vertical="center" wrapText="1" readingOrder="1"/>
      <protection hidden="1"/>
    </xf>
    <xf numFmtId="0" fontId="12" fillId="0" borderId="17" xfId="0" applyFont="1" applyBorder="1" applyAlignment="1" applyProtection="1">
      <alignment horizontal="center" vertical="center" wrapText="1" readingOrder="1"/>
      <protection hidden="1"/>
    </xf>
    <xf numFmtId="0" fontId="27" fillId="0" borderId="24" xfId="0" applyFont="1" applyBorder="1" applyAlignment="1">
      <alignment horizontal="left" vertical="center" wrapText="1"/>
    </xf>
    <xf numFmtId="0" fontId="27" fillId="0" borderId="25" xfId="0" applyFont="1" applyBorder="1" applyAlignment="1">
      <alignment horizontal="left" vertical="center" wrapText="1"/>
    </xf>
    <xf numFmtId="0" fontId="27" fillId="0" borderId="24" xfId="0" applyFont="1" applyBorder="1" applyAlignment="1">
      <alignment horizontal="right" vertical="center" wrapText="1"/>
    </xf>
    <xf numFmtId="0" fontId="27" fillId="0" borderId="25" xfId="0" applyFont="1" applyBorder="1" applyAlignment="1">
      <alignment horizontal="right" vertical="center" wrapText="1"/>
    </xf>
    <xf numFmtId="0" fontId="3" fillId="0" borderId="19" xfId="0" applyFont="1" applyBorder="1" applyAlignment="1" applyProtection="1">
      <alignment horizontal="center" vertical="center" wrapText="1" readingOrder="1"/>
      <protection hidden="1"/>
    </xf>
    <xf numFmtId="0" fontId="3" fillId="0" borderId="9" xfId="0" applyFont="1" applyBorder="1" applyAlignment="1" applyProtection="1">
      <alignment horizontal="center" vertical="center" wrapText="1" readingOrder="1"/>
      <protection hidden="1"/>
    </xf>
    <xf numFmtId="0" fontId="12" fillId="0" borderId="21" xfId="0" applyFont="1" applyBorder="1" applyAlignment="1" applyProtection="1">
      <alignment horizontal="center" vertical="center" wrapText="1" readingOrder="1"/>
      <protection hidden="1"/>
    </xf>
    <xf numFmtId="0" fontId="12" fillId="0" borderId="22" xfId="0" applyFont="1" applyBorder="1" applyAlignment="1" applyProtection="1">
      <alignment horizontal="center" vertical="center" wrapText="1" readingOrder="1"/>
      <protection hidden="1"/>
    </xf>
    <xf numFmtId="165" fontId="9" fillId="0" borderId="17" xfId="0" applyNumberFormat="1" applyFont="1" applyBorder="1" applyAlignment="1" applyProtection="1">
      <alignment horizontal="center" vertical="center" wrapText="1" readingOrder="1"/>
      <protection hidden="1"/>
    </xf>
    <xf numFmtId="0" fontId="27" fillId="0" borderId="36" xfId="0" applyFont="1" applyBorder="1" applyAlignment="1">
      <alignment horizontal="left" vertical="center" wrapText="1"/>
    </xf>
    <xf numFmtId="0" fontId="27" fillId="0" borderId="37" xfId="0" applyFont="1" applyBorder="1" applyAlignment="1">
      <alignment horizontal="left" vertical="center" wrapText="1"/>
    </xf>
    <xf numFmtId="0" fontId="27" fillId="0" borderId="36" xfId="0" applyFont="1" applyBorder="1" applyAlignment="1">
      <alignment horizontal="right" vertical="top" wrapText="1"/>
    </xf>
    <xf numFmtId="0" fontId="27" fillId="0" borderId="37" xfId="0" applyFont="1" applyBorder="1" applyAlignment="1">
      <alignment horizontal="right" vertical="top" wrapText="1"/>
    </xf>
    <xf numFmtId="15" fontId="21" fillId="0" borderId="9" xfId="0" applyNumberFormat="1" applyFont="1" applyBorder="1" applyAlignment="1" applyProtection="1">
      <alignment horizontal="center" vertical="center" wrapText="1" readingOrder="1"/>
      <protection hidden="1"/>
    </xf>
    <xf numFmtId="15" fontId="21" fillId="0" borderId="22" xfId="0" applyNumberFormat="1" applyFont="1" applyBorder="1" applyAlignment="1" applyProtection="1">
      <alignment horizontal="center" vertical="center" wrapText="1" readingOrder="1"/>
      <protection hidden="1"/>
    </xf>
    <xf numFmtId="0" fontId="9" fillId="2" borderId="27" xfId="0" applyFont="1" applyFill="1" applyBorder="1" applyAlignment="1">
      <alignment horizontal="center" vertical="center" wrapText="1" readingOrder="2"/>
    </xf>
    <xf numFmtId="0" fontId="9" fillId="2" borderId="28" xfId="0" applyFont="1" applyFill="1" applyBorder="1" applyAlignment="1">
      <alignment horizontal="center" vertical="center" wrapText="1" readingOrder="2"/>
    </xf>
    <xf numFmtId="0" fontId="12" fillId="0" borderId="57" xfId="0" applyFont="1" applyBorder="1" applyAlignment="1">
      <alignment horizontal="center" vertical="center" wrapText="1" readingOrder="2"/>
    </xf>
    <xf numFmtId="0" fontId="21" fillId="0" borderId="10" xfId="0" applyFont="1" applyBorder="1" applyAlignment="1" applyProtection="1">
      <alignment horizontal="center" vertical="center" wrapText="1" readingOrder="1"/>
      <protection hidden="1"/>
    </xf>
    <xf numFmtId="0" fontId="21" fillId="0" borderId="11" xfId="0" applyFont="1" applyBorder="1" applyAlignment="1" applyProtection="1">
      <alignment horizontal="center" vertical="center" wrapText="1" readingOrder="1"/>
      <protection hidden="1"/>
    </xf>
    <xf numFmtId="0" fontId="21" fillId="0" borderId="17" xfId="0" applyFont="1" applyBorder="1" applyAlignment="1" applyProtection="1">
      <alignment horizontal="center" vertical="center" wrapText="1" readingOrder="1"/>
      <protection hidden="1"/>
    </xf>
    <xf numFmtId="0" fontId="21" fillId="0" borderId="9" xfId="0" applyFont="1" applyBorder="1" applyAlignment="1" applyProtection="1">
      <alignment horizontal="center" vertical="center" wrapText="1" readingOrder="1"/>
      <protection hidden="1"/>
    </xf>
    <xf numFmtId="0" fontId="12" fillId="0" borderId="41" xfId="0" applyFont="1" applyBorder="1" applyAlignment="1" applyProtection="1">
      <alignment horizontal="center" vertical="center" wrapText="1" readingOrder="1"/>
      <protection hidden="1"/>
    </xf>
    <xf numFmtId="0" fontId="12" fillId="0" borderId="11" xfId="0" applyFont="1" applyBorder="1" applyAlignment="1" applyProtection="1">
      <alignment horizontal="center" vertical="center" wrapText="1" readingOrder="1"/>
      <protection hidden="1"/>
    </xf>
    <xf numFmtId="0" fontId="12" fillId="0" borderId="57" xfId="0" applyFont="1" applyBorder="1" applyAlignment="1">
      <alignment horizontal="center" vertical="center" wrapText="1" readingOrder="1"/>
    </xf>
    <xf numFmtId="0" fontId="16" fillId="0" borderId="9" xfId="1" applyBorder="1" applyAlignment="1" applyProtection="1">
      <alignment horizontal="center" vertical="center" wrapText="1" readingOrder="1"/>
      <protection hidden="1"/>
    </xf>
    <xf numFmtId="0" fontId="22" fillId="0" borderId="9" xfId="0" applyFont="1" applyBorder="1" applyAlignment="1" applyProtection="1">
      <alignment horizontal="center" vertical="center" wrapText="1" readingOrder="1"/>
      <protection hidden="1"/>
    </xf>
    <xf numFmtId="0" fontId="7" fillId="0" borderId="9" xfId="0" applyFont="1" applyBorder="1" applyAlignment="1" applyProtection="1">
      <alignment horizontal="center" vertical="center" wrapText="1" readingOrder="2"/>
      <protection hidden="1"/>
    </xf>
    <xf numFmtId="0" fontId="7" fillId="0" borderId="20" xfId="0" applyFont="1" applyBorder="1" applyAlignment="1" applyProtection="1">
      <alignment horizontal="center" vertical="center" wrapText="1" readingOrder="2"/>
      <protection hidden="1"/>
    </xf>
    <xf numFmtId="0" fontId="5" fillId="0" borderId="10" xfId="0" applyFont="1" applyBorder="1" applyAlignment="1" applyProtection="1">
      <alignment horizontal="center" vertical="center" wrapText="1" readingOrder="2"/>
      <protection hidden="1"/>
    </xf>
    <xf numFmtId="0" fontId="7" fillId="0" borderId="43" xfId="0" applyFont="1" applyBorder="1" applyAlignment="1" applyProtection="1">
      <alignment horizontal="center" vertical="center" wrapText="1" readingOrder="2"/>
      <protection hidden="1"/>
    </xf>
    <xf numFmtId="0" fontId="10" fillId="0" borderId="0" xfId="0" applyFont="1" applyAlignment="1" applyProtection="1">
      <alignment horizontal="center" vertical="center"/>
      <protection hidden="1"/>
    </xf>
    <xf numFmtId="0" fontId="25" fillId="2" borderId="14" xfId="0" applyFont="1" applyFill="1" applyBorder="1" applyAlignment="1" applyProtection="1">
      <alignment horizontal="center" vertical="center"/>
      <protection hidden="1"/>
    </xf>
    <xf numFmtId="0" fontId="25" fillId="2" borderId="15" xfId="0" applyFont="1" applyFill="1" applyBorder="1" applyAlignment="1" applyProtection="1">
      <alignment horizontal="center" vertical="center"/>
      <protection hidden="1"/>
    </xf>
    <xf numFmtId="0" fontId="9" fillId="3" borderId="17" xfId="0" applyFont="1" applyFill="1" applyBorder="1" applyAlignment="1" applyProtection="1">
      <alignment horizontal="center" vertical="center"/>
      <protection hidden="1"/>
    </xf>
    <xf numFmtId="0" fontId="9" fillId="3" borderId="18" xfId="0" applyFont="1" applyFill="1" applyBorder="1" applyAlignment="1" applyProtection="1">
      <alignment horizontal="center" vertical="center"/>
      <protection hidden="1"/>
    </xf>
    <xf numFmtId="0" fontId="9" fillId="3" borderId="22" xfId="0" applyFont="1" applyFill="1" applyBorder="1" applyAlignment="1" applyProtection="1">
      <alignment horizontal="center" vertical="center"/>
      <protection hidden="1"/>
    </xf>
    <xf numFmtId="0" fontId="9" fillId="3" borderId="23" xfId="0" applyFont="1" applyFill="1" applyBorder="1" applyAlignment="1" applyProtection="1">
      <alignment horizontal="center" vertical="center"/>
      <protection hidden="1"/>
    </xf>
    <xf numFmtId="0" fontId="11" fillId="0" borderId="7" xfId="0" applyFont="1" applyBorder="1" applyAlignment="1" applyProtection="1">
      <alignment horizontal="center" vertical="center"/>
      <protection hidden="1"/>
    </xf>
    <xf numFmtId="0" fontId="11" fillId="0" borderId="0" xfId="0" applyFont="1" applyAlignment="1" applyProtection="1">
      <alignment horizontal="center" vertical="center"/>
      <protection hidden="1"/>
    </xf>
    <xf numFmtId="0" fontId="24" fillId="2" borderId="13" xfId="0" applyFont="1" applyFill="1" applyBorder="1" applyAlignment="1" applyProtection="1">
      <alignment horizontal="center" vertical="center" readingOrder="1"/>
      <protection hidden="1"/>
    </xf>
    <xf numFmtId="0" fontId="24" fillId="2" borderId="14" xfId="0" applyFont="1" applyFill="1" applyBorder="1" applyAlignment="1" applyProtection="1">
      <alignment horizontal="center" vertical="center" readingOrder="1"/>
      <protection hidden="1"/>
    </xf>
    <xf numFmtId="0" fontId="9" fillId="3" borderId="16" xfId="0" applyFont="1" applyFill="1" applyBorder="1" applyAlignment="1" applyProtection="1">
      <alignment horizontal="center" vertical="center" readingOrder="1"/>
      <protection hidden="1"/>
    </xf>
    <xf numFmtId="0" fontId="9" fillId="3" borderId="17" xfId="0" applyFont="1" applyFill="1" applyBorder="1" applyAlignment="1" applyProtection="1">
      <alignment horizontal="center" vertical="center" readingOrder="1"/>
      <protection hidden="1"/>
    </xf>
    <xf numFmtId="0" fontId="9" fillId="3" borderId="21" xfId="0" applyFont="1" applyFill="1" applyBorder="1" applyAlignment="1" applyProtection="1">
      <alignment horizontal="center" vertical="center" readingOrder="1"/>
      <protection hidden="1"/>
    </xf>
    <xf numFmtId="0" fontId="9" fillId="3" borderId="22" xfId="0" applyFont="1" applyFill="1" applyBorder="1" applyAlignment="1" applyProtection="1">
      <alignment horizontal="center" vertical="center" readingOrder="1"/>
      <protection hidden="1"/>
    </xf>
    <xf numFmtId="0" fontId="21" fillId="3" borderId="22" xfId="0" applyFont="1" applyFill="1" applyBorder="1" applyAlignment="1" applyProtection="1">
      <alignment horizontal="center" vertical="center" readingOrder="1"/>
      <protection hidden="1"/>
    </xf>
    <xf numFmtId="0" fontId="23" fillId="0" borderId="14" xfId="0" applyFont="1" applyBorder="1" applyAlignment="1" applyProtection="1">
      <alignment horizontal="center" vertical="center" wrapText="1" readingOrder="1"/>
      <protection hidden="1"/>
    </xf>
    <xf numFmtId="0" fontId="12" fillId="0" borderId="14" xfId="0" applyFont="1" applyBorder="1" applyAlignment="1" applyProtection="1">
      <alignment horizontal="center" vertical="center" wrapText="1" readingOrder="2"/>
      <protection hidden="1"/>
    </xf>
    <xf numFmtId="0" fontId="12" fillId="0" borderId="15" xfId="0" applyFont="1" applyBorder="1" applyAlignment="1" applyProtection="1">
      <alignment horizontal="center" vertical="center" wrapText="1" readingOrder="2"/>
      <protection hidden="1"/>
    </xf>
    <xf numFmtId="0" fontId="12" fillId="0" borderId="13" xfId="0" applyFont="1" applyBorder="1" applyAlignment="1" applyProtection="1">
      <alignment horizontal="center" vertical="center" wrapText="1" readingOrder="1"/>
      <protection hidden="1"/>
    </xf>
    <xf numFmtId="0" fontId="12" fillId="0" borderId="14" xfId="0" applyFont="1" applyBorder="1" applyAlignment="1" applyProtection="1">
      <alignment horizontal="center" vertical="center" wrapText="1" readingOrder="1"/>
      <protection hidden="1"/>
    </xf>
    <xf numFmtId="0" fontId="22" fillId="2" borderId="32" xfId="0" applyFont="1" applyFill="1" applyBorder="1" applyAlignment="1" applyProtection="1">
      <alignment horizontal="center" vertical="center" wrapText="1"/>
      <protection hidden="1"/>
    </xf>
    <xf numFmtId="0" fontId="22" fillId="2" borderId="30" xfId="0" applyFont="1" applyFill="1" applyBorder="1" applyAlignment="1" applyProtection="1">
      <alignment horizontal="center" vertical="center" wrapText="1"/>
      <protection hidden="1"/>
    </xf>
    <xf numFmtId="0" fontId="22" fillId="2" borderId="33" xfId="0" applyFont="1" applyFill="1" applyBorder="1" applyAlignment="1" applyProtection="1">
      <alignment horizontal="center" vertical="center" wrapText="1"/>
      <protection hidden="1"/>
    </xf>
    <xf numFmtId="0" fontId="22" fillId="2" borderId="29" xfId="0" applyFont="1" applyFill="1" applyBorder="1" applyAlignment="1" applyProtection="1">
      <alignment horizontal="center" vertical="center" wrapText="1"/>
      <protection hidden="1"/>
    </xf>
    <xf numFmtId="0" fontId="22" fillId="2" borderId="31" xfId="0" applyFont="1" applyFill="1" applyBorder="1" applyAlignment="1" applyProtection="1">
      <alignment horizontal="center" vertical="center" wrapText="1"/>
      <protection hidden="1"/>
    </xf>
    <xf numFmtId="0" fontId="19" fillId="0" borderId="57" xfId="0" applyFont="1" applyBorder="1" applyAlignment="1">
      <alignment horizontal="center" vertical="center" wrapText="1" readingOrder="1"/>
    </xf>
    <xf numFmtId="1" fontId="21" fillId="0" borderId="9" xfId="0" applyNumberFormat="1" applyFont="1" applyBorder="1" applyAlignment="1" applyProtection="1">
      <alignment horizontal="center" vertical="center" wrapText="1" readingOrder="1"/>
      <protection hidden="1"/>
    </xf>
    <xf numFmtId="164" fontId="9" fillId="0" borderId="9" xfId="0" applyNumberFormat="1" applyFont="1" applyBorder="1" applyAlignment="1" applyProtection="1">
      <alignment horizontal="center" vertical="center" wrapText="1" readingOrder="1"/>
      <protection hidden="1"/>
    </xf>
    <xf numFmtId="0" fontId="9" fillId="0" borderId="9" xfId="0" applyFont="1" applyBorder="1" applyAlignment="1" applyProtection="1">
      <alignment horizontal="center" vertical="center" wrapText="1" readingOrder="1"/>
      <protection hidden="1"/>
    </xf>
    <xf numFmtId="164" fontId="21" fillId="0" borderId="9" xfId="0" applyNumberFormat="1" applyFont="1" applyBorder="1" applyAlignment="1" applyProtection="1">
      <alignment horizontal="center" vertical="center" wrapText="1" readingOrder="1"/>
      <protection hidden="1"/>
    </xf>
    <xf numFmtId="0" fontId="21" fillId="0" borderId="36" xfId="0" applyFont="1" applyBorder="1" applyAlignment="1" applyProtection="1">
      <alignment horizontal="center" vertical="center" wrapText="1" readingOrder="1"/>
      <protection hidden="1"/>
    </xf>
    <xf numFmtId="0" fontId="21" fillId="0" borderId="37" xfId="0" applyFont="1" applyBorder="1" applyAlignment="1" applyProtection="1">
      <alignment horizontal="center" vertical="center" wrapText="1" readingOrder="1"/>
      <protection hidden="1"/>
    </xf>
    <xf numFmtId="0" fontId="12" fillId="0" borderId="1" xfId="0" applyFont="1" applyBorder="1" applyAlignment="1">
      <alignment horizontal="center" vertical="center"/>
    </xf>
    <xf numFmtId="0" fontId="27" fillId="0" borderId="36" xfId="0" applyFont="1" applyBorder="1" applyAlignment="1">
      <alignment horizontal="right" vertical="center" wrapText="1"/>
    </xf>
    <xf numFmtId="0" fontId="27" fillId="0" borderId="37" xfId="0" applyFont="1" applyBorder="1" applyAlignment="1">
      <alignment horizontal="right" vertical="center" wrapText="1"/>
    </xf>
    <xf numFmtId="15" fontId="21" fillId="0" borderId="17" xfId="0" applyNumberFormat="1" applyFont="1" applyBorder="1" applyAlignment="1" applyProtection="1">
      <alignment horizontal="center" vertical="center" wrapText="1" readingOrder="1"/>
      <protection hidden="1"/>
    </xf>
    <xf numFmtId="0" fontId="55" fillId="0" borderId="38" xfId="0" applyFont="1" applyBorder="1" applyAlignment="1">
      <alignment horizontal="left" vertical="center" wrapText="1"/>
    </xf>
    <xf numFmtId="0" fontId="55" fillId="0" borderId="39" xfId="0" applyFont="1" applyBorder="1" applyAlignment="1">
      <alignment horizontal="left" vertical="center" wrapText="1"/>
    </xf>
    <xf numFmtId="0" fontId="55" fillId="0" borderId="38" xfId="0" applyFont="1" applyBorder="1" applyAlignment="1">
      <alignment horizontal="right" vertical="center" wrapText="1"/>
    </xf>
    <xf numFmtId="0" fontId="55" fillId="0" borderId="39" xfId="0" applyFont="1" applyBorder="1" applyAlignment="1">
      <alignment horizontal="right" vertical="center" wrapText="1"/>
    </xf>
    <xf numFmtId="0" fontId="55" fillId="0" borderId="10" xfId="0" applyFont="1" applyBorder="1" applyAlignment="1">
      <alignment horizontal="left" vertical="center" wrapText="1"/>
    </xf>
    <xf numFmtId="0" fontId="55" fillId="0" borderId="11" xfId="0" applyFont="1" applyBorder="1" applyAlignment="1">
      <alignment horizontal="left" vertical="center" wrapText="1"/>
    </xf>
    <xf numFmtId="0" fontId="55" fillId="0" borderId="10" xfId="0" applyFont="1" applyBorder="1" applyAlignment="1">
      <alignment horizontal="right" vertical="center" wrapText="1"/>
    </xf>
    <xf numFmtId="0" fontId="55" fillId="0" borderId="11" xfId="0" applyFont="1" applyBorder="1" applyAlignment="1">
      <alignment horizontal="right" vertical="center" wrapText="1"/>
    </xf>
    <xf numFmtId="0" fontId="25" fillId="2" borderId="29" xfId="0" applyFont="1" applyFill="1" applyBorder="1" applyAlignment="1">
      <alignment horizontal="center" vertical="center" readingOrder="1"/>
    </xf>
    <xf numFmtId="0" fontId="25" fillId="2" borderId="30" xfId="0" applyFont="1" applyFill="1" applyBorder="1" applyAlignment="1">
      <alignment horizontal="center" vertical="center" readingOrder="1"/>
    </xf>
    <xf numFmtId="0" fontId="25" fillId="2" borderId="31" xfId="0" applyFont="1" applyFill="1" applyBorder="1" applyAlignment="1">
      <alignment horizontal="center" vertical="center" readingOrder="1"/>
    </xf>
    <xf numFmtId="0" fontId="25" fillId="2" borderId="14" xfId="0" applyFont="1" applyFill="1" applyBorder="1" applyAlignment="1">
      <alignment horizontal="center" vertical="center"/>
    </xf>
    <xf numFmtId="0" fontId="25" fillId="2" borderId="15" xfId="0" applyFont="1" applyFill="1" applyBorder="1" applyAlignment="1">
      <alignment horizontal="center" vertical="center"/>
    </xf>
    <xf numFmtId="0" fontId="9" fillId="3" borderId="29" xfId="0" applyFont="1" applyFill="1" applyBorder="1" applyAlignment="1">
      <alignment horizontal="center" vertical="center" readingOrder="1"/>
    </xf>
    <xf numFmtId="0" fontId="9" fillId="3" borderId="31" xfId="0" applyFont="1" applyFill="1" applyBorder="1" applyAlignment="1">
      <alignment horizontal="center" vertical="center" readingOrder="1"/>
    </xf>
    <xf numFmtId="0" fontId="21" fillId="3" borderId="29" xfId="0" applyFont="1" applyFill="1" applyBorder="1" applyAlignment="1">
      <alignment horizontal="center" vertical="center" readingOrder="1"/>
    </xf>
    <xf numFmtId="0" fontId="21" fillId="3" borderId="31" xfId="0" applyFont="1" applyFill="1" applyBorder="1" applyAlignment="1">
      <alignment horizontal="center" vertical="center" readingOrder="1"/>
    </xf>
    <xf numFmtId="0" fontId="9" fillId="3" borderId="22" xfId="0" applyFont="1" applyFill="1" applyBorder="1" applyAlignment="1">
      <alignment horizontal="center" vertical="center"/>
    </xf>
    <xf numFmtId="0" fontId="9" fillId="3" borderId="23" xfId="0" applyFont="1" applyFill="1" applyBorder="1" applyAlignment="1">
      <alignment horizontal="center" vertical="center"/>
    </xf>
    <xf numFmtId="0" fontId="26" fillId="2" borderId="26" xfId="0" applyFont="1" applyFill="1" applyBorder="1" applyAlignment="1">
      <alignment horizontal="center" vertical="center" wrapText="1" readingOrder="1"/>
    </xf>
    <xf numFmtId="0" fontId="26" fillId="2" borderId="27" xfId="0" applyFont="1" applyFill="1" applyBorder="1" applyAlignment="1">
      <alignment horizontal="center" vertical="center" wrapText="1" readingOrder="1"/>
    </xf>
    <xf numFmtId="0" fontId="26" fillId="2" borderId="27" xfId="0" applyFont="1" applyFill="1" applyBorder="1" applyAlignment="1">
      <alignment horizontal="center" vertical="center" wrapText="1" readingOrder="2"/>
    </xf>
    <xf numFmtId="0" fontId="26" fillId="2" borderId="28" xfId="0" applyFont="1" applyFill="1" applyBorder="1" applyAlignment="1">
      <alignment horizontal="center" vertical="center" wrapText="1" readingOrder="2"/>
    </xf>
    <xf numFmtId="0" fontId="34" fillId="5" borderId="32" xfId="0" applyFont="1" applyFill="1" applyBorder="1" applyAlignment="1">
      <alignment horizontal="center" vertical="center" wrapText="1"/>
    </xf>
    <xf numFmtId="0" fontId="34" fillId="5" borderId="31" xfId="0" applyFont="1" applyFill="1" applyBorder="1" applyAlignment="1">
      <alignment horizontal="center" vertical="center" wrapText="1"/>
    </xf>
    <xf numFmtId="0" fontId="55" fillId="0" borderId="45" xfId="0" applyFont="1" applyBorder="1" applyAlignment="1">
      <alignment horizontal="left" vertical="center" wrapText="1"/>
    </xf>
    <xf numFmtId="0" fontId="55" fillId="0" borderId="46" xfId="0" applyFont="1" applyBorder="1" applyAlignment="1">
      <alignment horizontal="left" vertical="center" wrapText="1"/>
    </xf>
    <xf numFmtId="0" fontId="55" fillId="0" borderId="45" xfId="0" applyFont="1" applyBorder="1" applyAlignment="1">
      <alignment horizontal="right" vertical="center" wrapText="1"/>
    </xf>
    <xf numFmtId="0" fontId="55" fillId="0" borderId="46" xfId="0" applyFont="1" applyBorder="1" applyAlignment="1">
      <alignment horizontal="right" vertical="center" wrapText="1"/>
    </xf>
    <xf numFmtId="0" fontId="34" fillId="5" borderId="32" xfId="0" applyFont="1" applyFill="1" applyBorder="1" applyAlignment="1">
      <alignment horizontal="left" vertical="center" wrapText="1"/>
    </xf>
    <xf numFmtId="0" fontId="34" fillId="5" borderId="31" xfId="0" applyFont="1" applyFill="1" applyBorder="1" applyAlignment="1">
      <alignment horizontal="left" vertical="center" wrapText="1"/>
    </xf>
    <xf numFmtId="0" fontId="34" fillId="5" borderId="32" xfId="0" applyFont="1" applyFill="1" applyBorder="1" applyAlignment="1">
      <alignment horizontal="right" vertical="center" wrapText="1"/>
    </xf>
    <xf numFmtId="0" fontId="34" fillId="5" borderId="31" xfId="0" applyFont="1" applyFill="1" applyBorder="1" applyAlignment="1">
      <alignment horizontal="right" vertical="center" wrapText="1"/>
    </xf>
    <xf numFmtId="0" fontId="55" fillId="0" borderId="60" xfId="0" applyFont="1" applyBorder="1" applyAlignment="1">
      <alignment horizontal="left" vertical="center" wrapText="1"/>
    </xf>
    <xf numFmtId="0" fontId="55" fillId="0" borderId="61" xfId="0" applyFont="1" applyBorder="1" applyAlignment="1">
      <alignment horizontal="left" vertical="center" wrapText="1"/>
    </xf>
    <xf numFmtId="0" fontId="55" fillId="0" borderId="60" xfId="0" applyFont="1" applyBorder="1" applyAlignment="1">
      <alignment horizontal="right" vertical="center" wrapText="1"/>
    </xf>
    <xf numFmtId="0" fontId="55" fillId="0" borderId="61" xfId="0" applyFont="1" applyBorder="1" applyAlignment="1">
      <alignment horizontal="right" vertical="center" wrapText="1"/>
    </xf>
    <xf numFmtId="0" fontId="34" fillId="5" borderId="10" xfId="0" applyFont="1" applyFill="1" applyBorder="1" applyAlignment="1">
      <alignment horizontal="center" vertical="center" wrapText="1"/>
    </xf>
    <xf numFmtId="0" fontId="34" fillId="5" borderId="11" xfId="0" applyFont="1" applyFill="1" applyBorder="1" applyAlignment="1">
      <alignment horizontal="center" vertical="center" wrapText="1"/>
    </xf>
    <xf numFmtId="164" fontId="12" fillId="0" borderId="29" xfId="0" applyNumberFormat="1" applyFont="1" applyBorder="1" applyAlignment="1">
      <alignment horizontal="center" vertical="center" wrapText="1" readingOrder="2"/>
    </xf>
    <xf numFmtId="0" fontId="12" fillId="0" borderId="33" xfId="0" applyFont="1" applyBorder="1" applyAlignment="1">
      <alignment horizontal="center" vertical="center" wrapText="1" readingOrder="2"/>
    </xf>
    <xf numFmtId="164" fontId="12" fillId="0" borderId="33" xfId="0" applyNumberFormat="1" applyFont="1" applyBorder="1" applyAlignment="1">
      <alignment horizontal="center" vertical="center" wrapText="1" readingOrder="2"/>
    </xf>
    <xf numFmtId="0" fontId="11" fillId="5" borderId="7" xfId="0" applyFont="1" applyFill="1" applyBorder="1" applyAlignment="1">
      <alignment horizontal="center" vertical="center"/>
    </xf>
    <xf numFmtId="0" fontId="24" fillId="2" borderId="57" xfId="0" applyFont="1" applyFill="1" applyBorder="1" applyAlignment="1">
      <alignment horizontal="center" vertical="center" readingOrder="1"/>
    </xf>
    <xf numFmtId="0" fontId="25" fillId="2" borderId="57" xfId="0" applyFont="1" applyFill="1" applyBorder="1" applyAlignment="1">
      <alignment horizontal="center" vertical="center"/>
    </xf>
    <xf numFmtId="0" fontId="9" fillId="3" borderId="33" xfId="0" applyFont="1" applyFill="1" applyBorder="1" applyAlignment="1">
      <alignment horizontal="center" vertical="center" readingOrder="1"/>
    </xf>
    <xf numFmtId="0" fontId="21" fillId="3" borderId="33" xfId="0" applyFont="1" applyFill="1" applyBorder="1" applyAlignment="1">
      <alignment horizontal="center" vertical="center" readingOrder="1"/>
    </xf>
    <xf numFmtId="0" fontId="9" fillId="3" borderId="29" xfId="0" applyFont="1" applyFill="1" applyBorder="1" applyAlignment="1">
      <alignment horizontal="center" vertical="center"/>
    </xf>
    <xf numFmtId="0" fontId="9" fillId="3" borderId="33" xfId="0" applyFont="1" applyFill="1" applyBorder="1" applyAlignment="1">
      <alignment horizontal="center" vertical="center"/>
    </xf>
    <xf numFmtId="0" fontId="12" fillId="2" borderId="29" xfId="0" applyFont="1" applyFill="1" applyBorder="1" applyAlignment="1">
      <alignment horizontal="center" vertical="center" wrapText="1" readingOrder="2"/>
    </xf>
    <xf numFmtId="0" fontId="12" fillId="2" borderId="33" xfId="0" applyFont="1" applyFill="1" applyBorder="1" applyAlignment="1">
      <alignment horizontal="center" vertical="center" wrapText="1" readingOrder="2"/>
    </xf>
    <xf numFmtId="0" fontId="62" fillId="0" borderId="57" xfId="0" applyFont="1" applyBorder="1" applyAlignment="1">
      <alignment horizontal="left" vertical="center" wrapText="1"/>
    </xf>
    <xf numFmtId="0" fontId="62" fillId="0" borderId="57" xfId="0" applyFont="1" applyBorder="1" applyAlignment="1">
      <alignment horizontal="right" vertical="center" wrapText="1"/>
    </xf>
    <xf numFmtId="0" fontId="9" fillId="2" borderId="57" xfId="0" applyFont="1" applyFill="1" applyBorder="1" applyAlignment="1">
      <alignment horizontal="center" vertical="center" wrapText="1" readingOrder="1"/>
    </xf>
    <xf numFmtId="0" fontId="9" fillId="2" borderId="57" xfId="0" applyFont="1" applyFill="1" applyBorder="1" applyAlignment="1">
      <alignment horizontal="center" vertical="center" wrapText="1" readingOrder="2"/>
    </xf>
    <xf numFmtId="0" fontId="63" fillId="0" borderId="57" xfId="0" applyFont="1" applyBorder="1" applyAlignment="1">
      <alignment horizontal="right" vertical="center" wrapText="1"/>
    </xf>
    <xf numFmtId="0" fontId="64" fillId="2" borderId="29" xfId="0" applyFont="1" applyFill="1" applyBorder="1" applyAlignment="1" applyProtection="1">
      <alignment horizontal="center" vertical="center" wrapText="1"/>
      <protection hidden="1"/>
    </xf>
    <xf numFmtId="0" fontId="64" fillId="2" borderId="30" xfId="0" applyFont="1" applyFill="1" applyBorder="1" applyAlignment="1" applyProtection="1">
      <alignment horizontal="center" vertical="center" wrapText="1"/>
      <protection hidden="1"/>
    </xf>
    <xf numFmtId="0" fontId="64" fillId="2" borderId="31" xfId="0" applyFont="1" applyFill="1" applyBorder="1" applyAlignment="1" applyProtection="1">
      <alignment horizontal="center" vertical="center" wrapText="1"/>
      <protection hidden="1"/>
    </xf>
    <xf numFmtId="0" fontId="64" fillId="2" borderId="32" xfId="0" applyFont="1" applyFill="1" applyBorder="1" applyAlignment="1" applyProtection="1">
      <alignment horizontal="center" vertical="center" wrapText="1"/>
      <protection hidden="1"/>
    </xf>
    <xf numFmtId="0" fontId="64" fillId="2" borderId="33" xfId="0" applyFont="1" applyFill="1" applyBorder="1" applyAlignment="1" applyProtection="1">
      <alignment horizontal="center" vertical="center" wrapText="1"/>
      <protection hidden="1"/>
    </xf>
    <xf numFmtId="0" fontId="31" fillId="0" borderId="6" xfId="0" applyFont="1" applyBorder="1" applyAlignment="1">
      <alignment horizontal="left" vertical="center" wrapText="1" readingOrder="1"/>
    </xf>
    <xf numFmtId="0" fontId="31" fillId="0" borderId="7" xfId="0" applyFont="1" applyBorder="1" applyAlignment="1">
      <alignment horizontal="left" vertical="center" wrapText="1" readingOrder="1"/>
    </xf>
    <xf numFmtId="0" fontId="30" fillId="0" borderId="6" xfId="0" applyFont="1" applyBorder="1" applyAlignment="1">
      <alignment horizontal="right" vertical="center" wrapText="1" readingOrder="2"/>
    </xf>
    <xf numFmtId="0" fontId="30" fillId="0" borderId="7" xfId="0" applyFont="1" applyBorder="1" applyAlignment="1">
      <alignment horizontal="right" vertical="center" wrapText="1" readingOrder="2"/>
    </xf>
    <xf numFmtId="0" fontId="30" fillId="0" borderId="8" xfId="0" applyFont="1" applyBorder="1" applyAlignment="1">
      <alignment horizontal="right" vertical="center" wrapText="1" readingOrder="2"/>
    </xf>
    <xf numFmtId="0" fontId="31" fillId="0" borderId="9" xfId="0" applyFont="1" applyBorder="1" applyAlignment="1">
      <alignment horizontal="center" vertical="center"/>
    </xf>
    <xf numFmtId="0" fontId="31" fillId="0" borderId="10" xfId="0" applyFont="1" applyBorder="1" applyAlignment="1">
      <alignment horizontal="center" vertical="center"/>
    </xf>
    <xf numFmtId="0" fontId="31" fillId="0" borderId="19" xfId="0" applyFont="1" applyBorder="1" applyAlignment="1">
      <alignment horizontal="right" vertical="center" wrapText="1"/>
    </xf>
    <xf numFmtId="0" fontId="31" fillId="0" borderId="9" xfId="0" applyFont="1" applyBorder="1" applyAlignment="1">
      <alignment horizontal="right" vertical="center" wrapText="1"/>
    </xf>
    <xf numFmtId="0" fontId="31" fillId="0" borderId="19" xfId="0" applyFont="1" applyBorder="1" applyAlignment="1">
      <alignment horizontal="right" vertical="center" wrapText="1" readingOrder="2"/>
    </xf>
    <xf numFmtId="0" fontId="31" fillId="0" borderId="9" xfId="0" applyFont="1" applyBorder="1" applyAlignment="1">
      <alignment horizontal="right" vertical="center" wrapText="1" readingOrder="2"/>
    </xf>
    <xf numFmtId="0" fontId="14" fillId="0" borderId="0" xfId="0" applyFont="1" applyAlignment="1">
      <alignment horizontal="center" wrapText="1" readingOrder="1"/>
    </xf>
    <xf numFmtId="0" fontId="14" fillId="0" borderId="0" xfId="0" applyFont="1" applyAlignment="1">
      <alignment horizontal="center" wrapText="1" readingOrder="2"/>
    </xf>
    <xf numFmtId="0" fontId="28" fillId="8" borderId="29" xfId="0" applyFont="1" applyFill="1" applyBorder="1" applyAlignment="1">
      <alignment horizontal="center" vertical="center" readingOrder="1"/>
    </xf>
    <xf numFmtId="0" fontId="28" fillId="8" borderId="30" xfId="0" applyFont="1" applyFill="1" applyBorder="1" applyAlignment="1">
      <alignment horizontal="center" vertical="center" readingOrder="1"/>
    </xf>
    <xf numFmtId="0" fontId="28" fillId="8" borderId="29" xfId="0" applyFont="1" applyFill="1" applyBorder="1" applyAlignment="1">
      <alignment horizontal="center" vertical="center" readingOrder="2"/>
    </xf>
    <xf numFmtId="0" fontId="28" fillId="8" borderId="30" xfId="0" applyFont="1" applyFill="1" applyBorder="1" applyAlignment="1">
      <alignment horizontal="center" vertical="center" readingOrder="2"/>
    </xf>
    <xf numFmtId="0" fontId="28" fillId="8" borderId="33" xfId="0" applyFont="1" applyFill="1" applyBorder="1" applyAlignment="1">
      <alignment horizontal="center" vertical="center" readingOrder="2"/>
    </xf>
    <xf numFmtId="0" fontId="31" fillId="0" borderId="19" xfId="0" applyFont="1" applyBorder="1" applyAlignment="1">
      <alignment horizontal="center" vertical="center" wrapText="1"/>
    </xf>
    <xf numFmtId="0" fontId="31" fillId="0" borderId="9" xfId="0" applyFont="1" applyBorder="1" applyAlignment="1">
      <alignment horizontal="center" vertical="center" wrapText="1"/>
    </xf>
    <xf numFmtId="0" fontId="31" fillId="0" borderId="19" xfId="0" applyFont="1" applyBorder="1" applyAlignment="1">
      <alignment horizontal="center" vertical="center" wrapText="1" readingOrder="2"/>
    </xf>
    <xf numFmtId="0" fontId="31" fillId="0" borderId="9" xfId="0" applyFont="1" applyBorder="1" applyAlignment="1">
      <alignment horizontal="center" vertical="center" wrapText="1" readingOrder="2"/>
    </xf>
    <xf numFmtId="0" fontId="30" fillId="8" borderId="29" xfId="0" applyFont="1" applyFill="1" applyBorder="1" applyAlignment="1">
      <alignment horizontal="center" vertical="center" wrapText="1"/>
    </xf>
    <xf numFmtId="0" fontId="30" fillId="8" borderId="30" xfId="0" applyFont="1" applyFill="1" applyBorder="1" applyAlignment="1">
      <alignment horizontal="center" vertical="center" wrapText="1"/>
    </xf>
    <xf numFmtId="0" fontId="30" fillId="8" borderId="33" xfId="0" applyFont="1" applyFill="1" applyBorder="1" applyAlignment="1">
      <alignment horizontal="center" vertical="center" wrapText="1"/>
    </xf>
    <xf numFmtId="0" fontId="30" fillId="8" borderId="29" xfId="0" applyFont="1" applyFill="1" applyBorder="1" applyAlignment="1">
      <alignment horizontal="center" vertical="center"/>
    </xf>
    <xf numFmtId="0" fontId="30" fillId="8" borderId="30" xfId="0" applyFont="1" applyFill="1" applyBorder="1" applyAlignment="1">
      <alignment horizontal="center" vertical="center"/>
    </xf>
    <xf numFmtId="0" fontId="26" fillId="2" borderId="29" xfId="0" applyFont="1" applyFill="1" applyBorder="1" applyAlignment="1">
      <alignment horizontal="center" vertical="center"/>
    </xf>
    <xf numFmtId="0" fontId="26" fillId="2" borderId="30" xfId="0" applyFont="1" applyFill="1" applyBorder="1" applyAlignment="1">
      <alignment horizontal="center" vertical="center"/>
    </xf>
    <xf numFmtId="0" fontId="26" fillId="2" borderId="33" xfId="0" applyFont="1" applyFill="1" applyBorder="1" applyAlignment="1">
      <alignment horizontal="center" vertical="center"/>
    </xf>
    <xf numFmtId="0" fontId="31" fillId="0" borderId="1" xfId="0" applyFont="1" applyBorder="1" applyAlignment="1">
      <alignment horizontal="left" vertical="center" wrapText="1" readingOrder="1"/>
    </xf>
    <xf numFmtId="0" fontId="31" fillId="0" borderId="2" xfId="0" applyFont="1" applyBorder="1" applyAlignment="1">
      <alignment horizontal="left" vertical="center" wrapText="1" readingOrder="1"/>
    </xf>
    <xf numFmtId="0" fontId="30" fillId="0" borderId="1" xfId="0" applyFont="1" applyBorder="1" applyAlignment="1">
      <alignment horizontal="right" vertical="center" wrapText="1" readingOrder="2"/>
    </xf>
    <xf numFmtId="0" fontId="30" fillId="0" borderId="2" xfId="0" applyFont="1" applyBorder="1" applyAlignment="1">
      <alignment horizontal="right" vertical="center" wrapText="1" readingOrder="2"/>
    </xf>
    <xf numFmtId="0" fontId="30" fillId="0" borderId="3" xfId="0" applyFont="1" applyBorder="1" applyAlignment="1">
      <alignment horizontal="right" vertical="center" wrapText="1" readingOrder="2"/>
    </xf>
    <xf numFmtId="0" fontId="26" fillId="0" borderId="17" xfId="0" applyFont="1" applyBorder="1" applyAlignment="1">
      <alignment horizontal="center" vertical="center" wrapText="1" readingOrder="2"/>
    </xf>
    <xf numFmtId="0" fontId="26" fillId="0" borderId="18" xfId="0" applyFont="1" applyBorder="1" applyAlignment="1">
      <alignment horizontal="center" vertical="center" wrapText="1" readingOrder="2"/>
    </xf>
    <xf numFmtId="0" fontId="30" fillId="0" borderId="19" xfId="0" applyFont="1" applyBorder="1" applyAlignment="1">
      <alignment horizontal="center" vertical="center"/>
    </xf>
    <xf numFmtId="0" fontId="30" fillId="0" borderId="9" xfId="0" applyFont="1" applyBorder="1" applyAlignment="1">
      <alignment horizontal="center" vertical="center"/>
    </xf>
    <xf numFmtId="0" fontId="29" fillId="0" borderId="10" xfId="0" applyFont="1" applyBorder="1" applyAlignment="1">
      <alignment horizontal="center" vertical="center" wrapText="1" readingOrder="2"/>
    </xf>
    <xf numFmtId="0" fontId="29" fillId="0" borderId="42" xfId="0" applyFont="1" applyBorder="1" applyAlignment="1">
      <alignment horizontal="center" vertical="center" wrapText="1" readingOrder="2"/>
    </xf>
    <xf numFmtId="0" fontId="29" fillId="0" borderId="11" xfId="0" applyFont="1" applyBorder="1" applyAlignment="1">
      <alignment horizontal="center" vertical="center" wrapText="1" readingOrder="2"/>
    </xf>
    <xf numFmtId="0" fontId="26" fillId="0" borderId="9" xfId="0" applyFont="1" applyBorder="1" applyAlignment="1">
      <alignment horizontal="center" vertical="center" wrapText="1" readingOrder="2"/>
    </xf>
    <xf numFmtId="0" fontId="26" fillId="0" borderId="20" xfId="0" applyFont="1" applyBorder="1" applyAlignment="1">
      <alignment horizontal="center" vertical="center" wrapText="1" readingOrder="2"/>
    </xf>
    <xf numFmtId="0" fontId="30" fillId="0" borderId="21" xfId="0" applyFont="1" applyBorder="1" applyAlignment="1">
      <alignment horizontal="center" vertical="center"/>
    </xf>
    <xf numFmtId="0" fontId="30" fillId="0" borderId="22" xfId="0" applyFont="1" applyBorder="1" applyAlignment="1">
      <alignment horizontal="center" vertical="center"/>
    </xf>
    <xf numFmtId="0" fontId="29" fillId="0" borderId="24" xfId="0" applyFont="1" applyBorder="1" applyAlignment="1">
      <alignment horizontal="center" vertical="center" wrapText="1" readingOrder="2"/>
    </xf>
    <xf numFmtId="0" fontId="29" fillId="0" borderId="44" xfId="0" applyFont="1" applyBorder="1" applyAlignment="1">
      <alignment horizontal="center" vertical="center" wrapText="1" readingOrder="2"/>
    </xf>
    <xf numFmtId="0" fontId="29" fillId="0" borderId="25" xfId="0" applyFont="1" applyBorder="1" applyAlignment="1">
      <alignment horizontal="center" vertical="center" wrapText="1" readingOrder="2"/>
    </xf>
    <xf numFmtId="0" fontId="26" fillId="0" borderId="22" xfId="0" applyFont="1" applyBorder="1" applyAlignment="1">
      <alignment horizontal="center" vertical="center" wrapText="1" readingOrder="2"/>
    </xf>
    <xf numFmtId="0" fontId="26" fillId="0" borderId="23" xfId="0" applyFont="1" applyBorder="1" applyAlignment="1">
      <alignment horizontal="center" vertical="center" wrapText="1" readingOrder="2"/>
    </xf>
    <xf numFmtId="0" fontId="30" fillId="0" borderId="16" xfId="0" applyFont="1" applyBorder="1" applyAlignment="1">
      <alignment horizontal="center" vertical="center"/>
    </xf>
    <xf numFmtId="0" fontId="30" fillId="0" borderId="17" xfId="0" applyFont="1" applyBorder="1" applyAlignment="1">
      <alignment horizontal="center" vertical="center"/>
    </xf>
    <xf numFmtId="0" fontId="29" fillId="0" borderId="36" xfId="0" applyFont="1" applyBorder="1" applyAlignment="1">
      <alignment horizontal="center" vertical="center" wrapText="1" readingOrder="2"/>
    </xf>
    <xf numFmtId="0" fontId="29" fillId="0" borderId="40" xfId="0" applyFont="1" applyBorder="1" applyAlignment="1">
      <alignment horizontal="center" vertical="center" wrapText="1" readingOrder="2"/>
    </xf>
    <xf numFmtId="0" fontId="29" fillId="0" borderId="37" xfId="0" applyFont="1" applyBorder="1" applyAlignment="1">
      <alignment horizontal="center" vertical="center" wrapText="1" readingOrder="2"/>
    </xf>
    <xf numFmtId="0" fontId="30" fillId="0" borderId="29" xfId="0" applyFont="1" applyBorder="1" applyAlignment="1">
      <alignment horizontal="center" vertical="center"/>
    </xf>
    <xf numFmtId="0" fontId="30" fillId="0" borderId="30" xfId="0" applyFont="1" applyBorder="1" applyAlignment="1">
      <alignment horizontal="center" vertical="center"/>
    </xf>
    <xf numFmtId="0" fontId="30" fillId="0" borderId="33" xfId="0" applyFont="1" applyBorder="1" applyAlignment="1">
      <alignment horizontal="center" vertical="center"/>
    </xf>
    <xf numFmtId="0" fontId="30" fillId="0" borderId="13" xfId="0" applyFont="1" applyBorder="1" applyAlignment="1">
      <alignment horizontal="center" vertical="center" wrapText="1"/>
    </xf>
    <xf numFmtId="0" fontId="30" fillId="0" borderId="14" xfId="0" applyFont="1" applyBorder="1" applyAlignment="1">
      <alignment horizontal="center" vertical="center" wrapText="1"/>
    </xf>
    <xf numFmtId="0" fontId="32" fillId="0" borderId="14" xfId="0" applyFont="1" applyBorder="1" applyAlignment="1">
      <alignment horizontal="center" vertical="center" wrapText="1" readingOrder="2"/>
    </xf>
    <xf numFmtId="0" fontId="26" fillId="0" borderId="14" xfId="0" applyFont="1" applyBorder="1" applyAlignment="1">
      <alignment horizontal="center" vertical="center" wrapText="1" readingOrder="2"/>
    </xf>
    <xf numFmtId="0" fontId="26" fillId="0" borderId="15" xfId="0" applyFont="1" applyBorder="1" applyAlignment="1">
      <alignment horizontal="center" vertical="center" wrapText="1" readingOrder="2"/>
    </xf>
    <xf numFmtId="0" fontId="30" fillId="0" borderId="13" xfId="0" applyFont="1" applyBorder="1" applyAlignment="1">
      <alignment horizontal="center" vertical="center"/>
    </xf>
    <xf numFmtId="0" fontId="30" fillId="0" borderId="14" xfId="0" applyFont="1" applyBorder="1" applyAlignment="1">
      <alignment horizontal="center" vertical="center"/>
    </xf>
    <xf numFmtId="14" fontId="14" fillId="0" borderId="14" xfId="0" applyNumberFormat="1" applyFont="1" applyBorder="1" applyAlignment="1">
      <alignment horizontal="center" vertical="center" readingOrder="2"/>
    </xf>
    <xf numFmtId="0" fontId="14" fillId="0" borderId="14" xfId="0" applyFont="1" applyBorder="1" applyAlignment="1">
      <alignment horizontal="center" vertical="center" readingOrder="2"/>
    </xf>
    <xf numFmtId="0" fontId="39" fillId="4" borderId="6" xfId="0" applyFont="1" applyFill="1" applyBorder="1" applyAlignment="1">
      <alignment horizontal="left" vertical="center" wrapText="1"/>
    </xf>
    <xf numFmtId="0" fontId="39" fillId="4" borderId="7" xfId="0" applyFont="1" applyFill="1" applyBorder="1" applyAlignment="1">
      <alignment horizontal="left" vertical="center" wrapText="1"/>
    </xf>
    <xf numFmtId="0" fontId="40" fillId="4" borderId="6" xfId="0" applyFont="1" applyFill="1" applyBorder="1" applyAlignment="1">
      <alignment horizontal="right" vertical="center" wrapText="1"/>
    </xf>
    <xf numFmtId="0" fontId="40" fillId="4" borderId="7" xfId="0" applyFont="1" applyFill="1" applyBorder="1" applyAlignment="1">
      <alignment horizontal="right" vertical="center" wrapText="1"/>
    </xf>
    <xf numFmtId="0" fontId="40" fillId="4" borderId="8" xfId="0" applyFont="1" applyFill="1" applyBorder="1" applyAlignment="1">
      <alignment horizontal="right" vertical="center" wrapText="1"/>
    </xf>
    <xf numFmtId="0" fontId="12" fillId="2" borderId="1" xfId="0" applyFont="1" applyFill="1" applyBorder="1" applyAlignment="1">
      <alignment horizontal="center" vertical="center" wrapText="1" readingOrder="1"/>
    </xf>
    <xf numFmtId="0" fontId="12" fillId="2" borderId="6" xfId="0" applyFont="1" applyFill="1" applyBorder="1" applyAlignment="1">
      <alignment horizontal="center" vertical="center" wrapText="1" readingOrder="1"/>
    </xf>
    <xf numFmtId="0" fontId="12" fillId="2" borderId="1" xfId="0" applyFont="1" applyFill="1" applyBorder="1" applyAlignment="1">
      <alignment horizontal="center" vertical="center" wrapText="1"/>
    </xf>
    <xf numFmtId="0" fontId="12" fillId="2" borderId="6" xfId="0" applyFont="1" applyFill="1" applyBorder="1" applyAlignment="1">
      <alignment horizontal="center" vertical="center" wrapText="1"/>
    </xf>
    <xf numFmtId="0" fontId="12" fillId="2" borderId="3" xfId="0" applyFont="1" applyFill="1" applyBorder="1" applyAlignment="1">
      <alignment horizontal="center" vertical="center" wrapText="1"/>
    </xf>
    <xf numFmtId="0" fontId="12" fillId="2" borderId="3" xfId="0" applyFont="1" applyFill="1" applyBorder="1" applyAlignment="1">
      <alignment horizontal="center" vertical="center" wrapText="1" readingOrder="2"/>
    </xf>
    <xf numFmtId="0" fontId="12" fillId="2" borderId="8" xfId="0" applyFont="1" applyFill="1" applyBorder="1" applyAlignment="1">
      <alignment horizontal="center" vertical="center" wrapText="1" readingOrder="2"/>
    </xf>
    <xf numFmtId="0" fontId="38" fillId="3" borderId="1" xfId="0" applyFont="1" applyFill="1" applyBorder="1" applyAlignment="1">
      <alignment horizontal="center" wrapText="1"/>
    </xf>
    <xf numFmtId="0" fontId="38" fillId="3" borderId="2" xfId="0" applyFont="1" applyFill="1" applyBorder="1" applyAlignment="1">
      <alignment horizontal="center" wrapText="1"/>
    </xf>
    <xf numFmtId="0" fontId="38" fillId="3" borderId="3" xfId="0" applyFont="1" applyFill="1" applyBorder="1" applyAlignment="1">
      <alignment horizontal="center" wrapText="1"/>
    </xf>
    <xf numFmtId="0" fontId="38" fillId="3" borderId="4" xfId="0" applyFont="1" applyFill="1" applyBorder="1" applyAlignment="1">
      <alignment horizontal="center" wrapText="1"/>
    </xf>
    <xf numFmtId="0" fontId="38" fillId="3" borderId="0" xfId="0" applyFont="1" applyFill="1" applyAlignment="1">
      <alignment horizontal="center" wrapText="1"/>
    </xf>
    <xf numFmtId="0" fontId="38" fillId="3" borderId="5" xfId="0" applyFont="1" applyFill="1" applyBorder="1" applyAlignment="1">
      <alignment horizontal="center" wrapText="1"/>
    </xf>
    <xf numFmtId="0" fontId="9" fillId="2" borderId="29" xfId="0" applyFont="1" applyFill="1" applyBorder="1" applyAlignment="1">
      <alignment vertical="center" wrapText="1" readingOrder="1"/>
    </xf>
    <xf numFmtId="0" fontId="9" fillId="2" borderId="30" xfId="0" applyFont="1" applyFill="1" applyBorder="1" applyAlignment="1">
      <alignment vertical="center" wrapText="1" readingOrder="1"/>
    </xf>
    <xf numFmtId="0" fontId="9" fillId="2" borderId="29" xfId="0" applyFont="1" applyFill="1" applyBorder="1" applyAlignment="1">
      <alignment vertical="center" wrapText="1" readingOrder="2"/>
    </xf>
    <xf numFmtId="0" fontId="9" fillId="2" borderId="30" xfId="0" applyFont="1" applyFill="1" applyBorder="1" applyAlignment="1">
      <alignment vertical="center" wrapText="1" readingOrder="2"/>
    </xf>
    <xf numFmtId="0" fontId="9" fillId="2" borderId="33" xfId="0" applyFont="1" applyFill="1" applyBorder="1" applyAlignment="1">
      <alignment vertical="center" wrapText="1" readingOrder="2"/>
    </xf>
    <xf numFmtId="0" fontId="12" fillId="2" borderId="29" xfId="0" applyFont="1" applyFill="1" applyBorder="1" applyAlignment="1">
      <alignment horizontal="left" vertical="center" wrapText="1" readingOrder="1"/>
    </xf>
    <xf numFmtId="0" fontId="12" fillId="2" borderId="30" xfId="0" applyFont="1" applyFill="1" applyBorder="1" applyAlignment="1">
      <alignment horizontal="left" vertical="center" wrapText="1" readingOrder="1"/>
    </xf>
    <xf numFmtId="0" fontId="12" fillId="2" borderId="29" xfId="0" applyFont="1" applyFill="1" applyBorder="1" applyAlignment="1">
      <alignment vertical="center" wrapText="1" readingOrder="2"/>
    </xf>
    <xf numFmtId="0" fontId="12" fillId="2" borderId="30" xfId="0" applyFont="1" applyFill="1" applyBorder="1" applyAlignment="1">
      <alignment vertical="center" wrapText="1" readingOrder="2"/>
    </xf>
    <xf numFmtId="0" fontId="12" fillId="2" borderId="33" xfId="0" applyFont="1" applyFill="1" applyBorder="1" applyAlignment="1">
      <alignment vertical="center" wrapText="1" readingOrder="2"/>
    </xf>
    <xf numFmtId="0" fontId="19" fillId="0" borderId="10" xfId="0" applyFont="1" applyBorder="1" applyAlignment="1">
      <alignment horizontal="center" vertical="center" wrapText="1" readingOrder="1"/>
    </xf>
    <xf numFmtId="0" fontId="19" fillId="0" borderId="42" xfId="0" applyFont="1" applyBorder="1" applyAlignment="1">
      <alignment horizontal="center" vertical="center" wrapText="1" readingOrder="1"/>
    </xf>
    <xf numFmtId="0" fontId="19" fillId="0" borderId="11" xfId="0" applyFont="1" applyBorder="1" applyAlignment="1">
      <alignment horizontal="center" vertical="center" wrapText="1" readingOrder="1"/>
    </xf>
    <xf numFmtId="0" fontId="12" fillId="2" borderId="41" xfId="0" applyFont="1" applyFill="1" applyBorder="1" applyAlignment="1">
      <alignment horizontal="center" vertical="center" wrapText="1" readingOrder="1"/>
    </xf>
    <xf numFmtId="0" fontId="12" fillId="2" borderId="42" xfId="0" applyFont="1" applyFill="1" applyBorder="1" applyAlignment="1">
      <alignment horizontal="center" vertical="center" wrapText="1" readingOrder="1"/>
    </xf>
    <xf numFmtId="0" fontId="12" fillId="2" borderId="42" xfId="0" applyFont="1" applyFill="1" applyBorder="1" applyAlignment="1">
      <alignment horizontal="center" vertical="center" wrapText="1" readingOrder="2"/>
    </xf>
    <xf numFmtId="0" fontId="12" fillId="2" borderId="43" xfId="0" applyFont="1" applyFill="1" applyBorder="1" applyAlignment="1">
      <alignment horizontal="center" vertical="center" wrapText="1" readingOrder="2"/>
    </xf>
    <xf numFmtId="0" fontId="12" fillId="2" borderId="11" xfId="0" applyFont="1" applyFill="1" applyBorder="1" applyAlignment="1">
      <alignment horizontal="center" vertical="center" wrapText="1" readingOrder="1"/>
    </xf>
    <xf numFmtId="0" fontId="12" fillId="2" borderId="10" xfId="0" applyFont="1" applyFill="1" applyBorder="1" applyAlignment="1">
      <alignment horizontal="center" vertical="center" wrapText="1" readingOrder="2"/>
    </xf>
    <xf numFmtId="0" fontId="37" fillId="0" borderId="10" xfId="0" applyFont="1" applyBorder="1" applyAlignment="1">
      <alignment horizontal="center" vertical="center" wrapText="1" readingOrder="1"/>
    </xf>
    <xf numFmtId="0" fontId="37" fillId="0" borderId="42" xfId="0" applyFont="1" applyBorder="1" applyAlignment="1">
      <alignment horizontal="center" vertical="center" wrapText="1" readingOrder="1"/>
    </xf>
    <xf numFmtId="0" fontId="37" fillId="0" borderId="11" xfId="0" applyFont="1" applyBorder="1" applyAlignment="1">
      <alignment horizontal="center" vertical="center" wrapText="1" readingOrder="1"/>
    </xf>
    <xf numFmtId="0" fontId="19" fillId="0" borderId="10" xfId="0" applyFont="1" applyBorder="1" applyAlignment="1" applyProtection="1">
      <alignment horizontal="center" vertical="center" wrapText="1" readingOrder="1"/>
      <protection hidden="1"/>
    </xf>
    <xf numFmtId="0" fontId="19" fillId="0" borderId="42" xfId="0" applyFont="1" applyBorder="1" applyAlignment="1" applyProtection="1">
      <alignment horizontal="center" vertical="center" wrapText="1" readingOrder="1"/>
      <protection hidden="1"/>
    </xf>
    <xf numFmtId="0" fontId="19" fillId="0" borderId="11" xfId="0" applyFont="1" applyBorder="1" applyAlignment="1" applyProtection="1">
      <alignment horizontal="center" vertical="center" wrapText="1" readingOrder="1"/>
      <protection hidden="1"/>
    </xf>
    <xf numFmtId="0" fontId="36" fillId="2" borderId="47" xfId="0" applyFont="1" applyFill="1" applyBorder="1" applyAlignment="1">
      <alignment horizontal="center" vertical="center" readingOrder="1"/>
    </xf>
    <xf numFmtId="0" fontId="36" fillId="2" borderId="40" xfId="0" applyFont="1" applyFill="1" applyBorder="1" applyAlignment="1">
      <alignment horizontal="center" vertical="center" readingOrder="1"/>
    </xf>
    <xf numFmtId="0" fontId="36" fillId="2" borderId="37" xfId="0" applyFont="1" applyFill="1" applyBorder="1" applyAlignment="1">
      <alignment horizontal="center" vertical="center" readingOrder="1"/>
    </xf>
    <xf numFmtId="0" fontId="36" fillId="2" borderId="36" xfId="0" applyFont="1" applyFill="1" applyBorder="1" applyAlignment="1">
      <alignment horizontal="center" vertical="center"/>
    </xf>
    <xf numFmtId="0" fontId="36" fillId="2" borderId="40" xfId="0" applyFont="1" applyFill="1" applyBorder="1" applyAlignment="1">
      <alignment horizontal="center" vertical="center"/>
    </xf>
    <xf numFmtId="0" fontId="36" fillId="2" borderId="48" xfId="0" applyFont="1" applyFill="1" applyBorder="1" applyAlignment="1">
      <alignment horizontal="center" vertical="center"/>
    </xf>
    <xf numFmtId="0" fontId="39" fillId="4" borderId="55" xfId="0" applyFont="1" applyFill="1" applyBorder="1" applyAlignment="1">
      <alignment horizontal="left" vertical="center" wrapText="1"/>
    </xf>
    <xf numFmtId="0" fontId="39" fillId="4" borderId="44" xfId="0" applyFont="1" applyFill="1" applyBorder="1" applyAlignment="1">
      <alignment horizontal="left" vertical="center" wrapText="1"/>
    </xf>
    <xf numFmtId="0" fontId="41" fillId="4" borderId="55" xfId="0" applyFont="1" applyFill="1" applyBorder="1" applyAlignment="1">
      <alignment horizontal="right" vertical="center" wrapText="1"/>
    </xf>
    <xf numFmtId="0" fontId="41" fillId="4" borderId="44" xfId="0" applyFont="1" applyFill="1" applyBorder="1" applyAlignment="1">
      <alignment horizontal="right" vertical="center" wrapText="1"/>
    </xf>
    <xf numFmtId="0" fontId="41" fillId="4" borderId="56" xfId="0" applyFont="1" applyFill="1" applyBorder="1" applyAlignment="1">
      <alignment horizontal="right" vertical="center" wrapText="1"/>
    </xf>
    <xf numFmtId="0" fontId="39" fillId="4" borderId="41" xfId="0" applyFont="1" applyFill="1" applyBorder="1" applyAlignment="1">
      <alignment horizontal="left" vertical="center" wrapText="1"/>
    </xf>
    <xf numFmtId="0" fontId="39" fillId="4" borderId="42" xfId="0" applyFont="1" applyFill="1" applyBorder="1" applyAlignment="1">
      <alignment horizontal="left" vertical="center" wrapText="1"/>
    </xf>
    <xf numFmtId="0" fontId="41" fillId="4" borderId="41" xfId="0" applyFont="1" applyFill="1" applyBorder="1" applyAlignment="1">
      <alignment horizontal="right" vertical="center" wrapText="1"/>
    </xf>
    <xf numFmtId="0" fontId="41" fillId="4" borderId="42" xfId="0" applyFont="1" applyFill="1" applyBorder="1" applyAlignment="1">
      <alignment horizontal="right" vertical="center" wrapText="1"/>
    </xf>
    <xf numFmtId="0" fontId="41" fillId="4" borderId="43" xfId="0" applyFont="1" applyFill="1" applyBorder="1" applyAlignment="1">
      <alignment horizontal="right" vertical="center" wrapText="1"/>
    </xf>
    <xf numFmtId="0" fontId="39" fillId="4" borderId="49" xfId="0" applyFont="1" applyFill="1" applyBorder="1" applyAlignment="1">
      <alignment horizontal="left" vertical="center" wrapText="1"/>
    </xf>
    <xf numFmtId="0" fontId="39" fillId="4" borderId="54" xfId="0" applyFont="1" applyFill="1" applyBorder="1" applyAlignment="1">
      <alignment horizontal="left" vertical="center" wrapText="1"/>
    </xf>
    <xf numFmtId="0" fontId="41" fillId="4" borderId="49" xfId="0" applyFont="1" applyFill="1" applyBorder="1" applyAlignment="1">
      <alignment horizontal="right" vertical="center" wrapText="1"/>
    </xf>
    <xf numFmtId="0" fontId="41" fillId="4" borderId="54" xfId="0" applyFont="1" applyFill="1" applyBorder="1" applyAlignment="1">
      <alignment horizontal="right" vertical="center" wrapText="1"/>
    </xf>
    <xf numFmtId="0" fontId="41" fillId="4" borderId="50" xfId="0" applyFont="1" applyFill="1" applyBorder="1" applyAlignment="1">
      <alignment horizontal="right" vertical="center" wrapText="1"/>
    </xf>
    <xf numFmtId="0" fontId="12" fillId="0" borderId="10" xfId="0" applyFont="1" applyBorder="1" applyAlignment="1">
      <alignment horizontal="center" vertical="center" wrapText="1" readingOrder="1"/>
    </xf>
    <xf numFmtId="0" fontId="12" fillId="0" borderId="42" xfId="0" applyFont="1" applyBorder="1" applyAlignment="1">
      <alignment horizontal="center" vertical="center" wrapText="1" readingOrder="1"/>
    </xf>
    <xf numFmtId="0" fontId="12" fillId="0" borderId="11" xfId="0" applyFont="1" applyBorder="1" applyAlignment="1">
      <alignment horizontal="center" vertical="center" wrapText="1" readingOrder="1"/>
    </xf>
    <xf numFmtId="0" fontId="12" fillId="0" borderId="24" xfId="0" applyFont="1" applyBorder="1" applyAlignment="1">
      <alignment horizontal="center" vertical="center" wrapText="1" readingOrder="1"/>
    </xf>
    <xf numFmtId="0" fontId="12" fillId="0" borderId="44" xfId="0" applyFont="1" applyBorder="1" applyAlignment="1">
      <alignment horizontal="center" vertical="center" wrapText="1" readingOrder="1"/>
    </xf>
    <xf numFmtId="0" fontId="12" fillId="0" borderId="25" xfId="0" applyFont="1" applyBorder="1" applyAlignment="1">
      <alignment horizontal="center" vertical="center" wrapText="1" readingOrder="1"/>
    </xf>
    <xf numFmtId="14" fontId="19" fillId="0" borderId="10" xfId="0" applyNumberFormat="1" applyFont="1" applyBorder="1" applyAlignment="1">
      <alignment horizontal="center" vertical="center" wrapText="1" readingOrder="1"/>
    </xf>
    <xf numFmtId="14" fontId="19" fillId="0" borderId="42" xfId="0" applyNumberFormat="1" applyFont="1" applyBorder="1" applyAlignment="1">
      <alignment horizontal="center" vertical="center" wrapText="1" readingOrder="1"/>
    </xf>
    <xf numFmtId="14" fontId="19" fillId="0" borderId="11" xfId="0" applyNumberFormat="1" applyFont="1" applyBorder="1" applyAlignment="1">
      <alignment horizontal="center" vertical="center" wrapText="1" readingOrder="1"/>
    </xf>
    <xf numFmtId="0" fontId="27" fillId="0" borderId="57" xfId="0" applyFont="1" applyBorder="1" applyAlignment="1">
      <alignment horizontal="center" vertical="center" wrapText="1" readingOrder="1"/>
    </xf>
    <xf numFmtId="0" fontId="48" fillId="0" borderId="57" xfId="0" applyFont="1" applyBorder="1" applyAlignment="1">
      <alignment horizontal="center" vertical="center" wrapText="1" readingOrder="2"/>
    </xf>
    <xf numFmtId="0" fontId="54" fillId="0" borderId="57" xfId="0" applyFont="1" applyBorder="1" applyAlignment="1">
      <alignment horizontal="center" vertical="center" wrapText="1" readingOrder="1"/>
    </xf>
    <xf numFmtId="0" fontId="47" fillId="0" borderId="57" xfId="0" applyFont="1" applyBorder="1" applyAlignment="1">
      <alignment horizontal="center" vertical="center" wrapText="1" readingOrder="1"/>
    </xf>
    <xf numFmtId="0" fontId="48" fillId="0" borderId="57" xfId="0" applyFont="1" applyBorder="1" applyAlignment="1">
      <alignment horizontal="center" vertical="center" wrapText="1" readingOrder="1"/>
    </xf>
    <xf numFmtId="0" fontId="48" fillId="0" borderId="57" xfId="0" applyFont="1" applyBorder="1" applyAlignment="1">
      <alignment horizontal="right" vertical="center" wrapText="1"/>
    </xf>
    <xf numFmtId="0" fontId="45" fillId="0" borderId="9" xfId="0" applyFont="1" applyBorder="1" applyAlignment="1">
      <alignment horizontal="center" vertical="center" wrapText="1" readingOrder="1"/>
    </xf>
    <xf numFmtId="0" fontId="45" fillId="0" borderId="22" xfId="0" applyFont="1" applyBorder="1" applyAlignment="1">
      <alignment horizontal="center" vertical="center" wrapText="1" readingOrder="1"/>
    </xf>
    <xf numFmtId="0" fontId="27" fillId="2" borderId="16" xfId="0" applyFont="1" applyFill="1" applyBorder="1" applyAlignment="1">
      <alignment horizontal="left" vertical="center" wrapText="1" readingOrder="1"/>
    </xf>
    <xf numFmtId="0" fontId="27" fillId="2" borderId="17" xfId="0" applyFont="1" applyFill="1" applyBorder="1" applyAlignment="1">
      <alignment horizontal="left" vertical="center" wrapText="1" readingOrder="1"/>
    </xf>
    <xf numFmtId="0" fontId="48" fillId="2" borderId="17" xfId="0" applyFont="1" applyFill="1" applyBorder="1" applyAlignment="1">
      <alignment horizontal="right" vertical="center" wrapText="1" readingOrder="2"/>
    </xf>
    <xf numFmtId="0" fontId="48" fillId="2" borderId="18" xfId="0" applyFont="1" applyFill="1" applyBorder="1" applyAlignment="1">
      <alignment horizontal="right" vertical="center" wrapText="1" readingOrder="2"/>
    </xf>
    <xf numFmtId="14" fontId="53" fillId="0" borderId="10" xfId="0" applyNumberFormat="1" applyFont="1" applyBorder="1" applyAlignment="1">
      <alignment horizontal="center" vertical="center" wrapText="1" readingOrder="1"/>
    </xf>
    <xf numFmtId="0" fontId="53" fillId="0" borderId="11" xfId="0" applyFont="1" applyBorder="1" applyAlignment="1">
      <alignment horizontal="center" vertical="center" wrapText="1" readingOrder="1"/>
    </xf>
    <xf numFmtId="0" fontId="49" fillId="0" borderId="9" xfId="0" applyFont="1" applyBorder="1" applyAlignment="1">
      <alignment horizontal="center" vertical="center" wrapText="1" readingOrder="1"/>
    </xf>
    <xf numFmtId="0" fontId="50" fillId="2" borderId="16" xfId="0" applyFont="1" applyFill="1" applyBorder="1" applyAlignment="1">
      <alignment horizontal="left" vertical="center" wrapText="1" readingOrder="1"/>
    </xf>
    <xf numFmtId="0" fontId="50" fillId="2" borderId="17" xfId="0" applyFont="1" applyFill="1" applyBorder="1" applyAlignment="1">
      <alignment horizontal="left" vertical="center" wrapText="1" readingOrder="1"/>
    </xf>
    <xf numFmtId="0" fontId="52" fillId="2" borderId="17" xfId="0" applyFont="1" applyFill="1" applyBorder="1" applyAlignment="1">
      <alignment horizontal="right" vertical="center" wrapText="1" readingOrder="2"/>
    </xf>
    <xf numFmtId="0" fontId="52" fillId="2" borderId="18" xfId="0" applyFont="1" applyFill="1" applyBorder="1" applyAlignment="1">
      <alignment horizontal="right" vertical="center" wrapText="1" readingOrder="2"/>
    </xf>
    <xf numFmtId="0" fontId="43" fillId="0" borderId="0" xfId="0" applyFont="1" applyAlignment="1">
      <alignment horizontal="center" vertical="center"/>
    </xf>
    <xf numFmtId="0" fontId="44" fillId="0" borderId="0" xfId="0" applyFont="1" applyAlignment="1">
      <alignment horizontal="center" vertical="center"/>
    </xf>
    <xf numFmtId="0" fontId="21" fillId="0" borderId="0" xfId="0" applyFont="1" applyAlignment="1">
      <alignment horizontal="left" vertical="center"/>
    </xf>
    <xf numFmtId="0" fontId="21" fillId="0" borderId="0" xfId="0" applyFont="1" applyAlignment="1">
      <alignment horizontal="right" vertical="center"/>
    </xf>
    <xf numFmtId="0" fontId="11" fillId="0" borderId="0" xfId="0" applyFont="1" applyAlignment="1">
      <alignment horizontal="left" vertical="center"/>
    </xf>
    <xf numFmtId="0" fontId="11" fillId="0" borderId="7" xfId="0" applyFont="1" applyBorder="1" applyAlignment="1">
      <alignment horizontal="right" vertical="center"/>
    </xf>
    <xf numFmtId="0" fontId="25" fillId="2" borderId="16" xfId="0" applyFont="1" applyFill="1" applyBorder="1" applyAlignment="1">
      <alignment horizontal="center" vertical="center" readingOrder="1"/>
    </xf>
    <xf numFmtId="0" fontId="25" fillId="2" borderId="17" xfId="0" applyFont="1" applyFill="1" applyBorder="1" applyAlignment="1">
      <alignment horizontal="center" vertical="center" readingOrder="1"/>
    </xf>
    <xf numFmtId="0" fontId="45" fillId="2" borderId="17" xfId="0" applyFont="1" applyFill="1" applyBorder="1" applyAlignment="1">
      <alignment horizontal="center" vertical="center"/>
    </xf>
    <xf numFmtId="0" fontId="45" fillId="2" borderId="18" xfId="0" applyFont="1" applyFill="1" applyBorder="1" applyAlignment="1">
      <alignment horizontal="center" vertical="center"/>
    </xf>
    <xf numFmtId="0" fontId="45" fillId="3" borderId="22" xfId="0" applyFont="1" applyFill="1" applyBorder="1" applyAlignment="1">
      <alignment horizontal="center" vertical="center" readingOrder="1"/>
    </xf>
    <xf numFmtId="0" fontId="25" fillId="2" borderId="13" xfId="0" applyFont="1" applyFill="1" applyBorder="1" applyAlignment="1">
      <alignment horizontal="center" vertical="center" wrapText="1" readingOrder="1"/>
    </xf>
    <xf numFmtId="0" fontId="25" fillId="2" borderId="14" xfId="0" applyFont="1" applyFill="1" applyBorder="1" applyAlignment="1">
      <alignment horizontal="center" vertical="center" wrapText="1" readingOrder="1"/>
    </xf>
    <xf numFmtId="0" fontId="25" fillId="2" borderId="14" xfId="0" applyFont="1" applyFill="1" applyBorder="1" applyAlignment="1">
      <alignment horizontal="center" vertical="center" wrapText="1" readingOrder="2"/>
    </xf>
    <xf numFmtId="0" fontId="25" fillId="2" borderId="15" xfId="0" applyFont="1" applyFill="1" applyBorder="1" applyAlignment="1">
      <alignment horizontal="center" vertical="center" wrapText="1" readingOrder="2"/>
    </xf>
  </cellXfs>
  <cellStyles count="2">
    <cellStyle name="Hyperlink" xfId="1" builtinId="8"/>
    <cellStyle name="Normal" xfId="0" builtinId="0"/>
  </cellStyles>
  <dxfs count="0"/>
  <tableStyles count="1" defaultTableStyle="TableStyleMedium9" defaultPivotStyle="PivotStyleLight16">
    <tableStyle name="Invisible" pivot="0" table="0" count="0" xr9:uid="{00000000-0011-0000-FFFF-FFFF0000000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1.png"/><Relationship Id="rId4" Type="http://schemas.openxmlformats.org/officeDocument/2006/relationships/image" Target="../media/image5.png"/></Relationships>
</file>

<file path=xl/drawings/_rels/drawing4.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3.pn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6.pn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2</xdr:col>
      <xdr:colOff>390558</xdr:colOff>
      <xdr:row>0</xdr:row>
      <xdr:rowOff>144306</xdr:rowOff>
    </xdr:from>
    <xdr:ext cx="2380172" cy="1826953"/>
    <xdr:pic>
      <xdr:nvPicPr>
        <xdr:cNvPr id="2" name="صورة 1" descr="SFG_Logo_01.png">
          <a:extLst>
            <a:ext uri="{FF2B5EF4-FFF2-40B4-BE49-F238E27FC236}">
              <a16:creationId xmlns:a16="http://schemas.microsoft.com/office/drawing/2014/main" id="{167324EC-3735-4994-B04F-1A896D2E781C}"/>
            </a:ext>
          </a:extLst>
        </xdr:cNvPr>
        <xdr:cNvPicPr>
          <a:picLocks noChangeAspect="1"/>
        </xdr:cNvPicPr>
      </xdr:nvPicPr>
      <xdr:blipFill>
        <a:blip xmlns:r="http://schemas.openxmlformats.org/officeDocument/2006/relationships" r:embed="rId1" cstate="print"/>
        <a:stretch>
          <a:fillRect/>
        </a:stretch>
      </xdr:blipFill>
      <xdr:spPr>
        <a:xfrm>
          <a:off x="2858775" y="144306"/>
          <a:ext cx="2380172" cy="1826953"/>
        </a:xfrm>
        <a:prstGeom prst="rect">
          <a:avLst/>
        </a:prstGeom>
      </xdr:spPr>
    </xdr:pic>
    <xdr:clientData/>
  </xdr:oneCellAnchor>
  <xdr:oneCellAnchor>
    <xdr:from>
      <xdr:col>1</xdr:col>
      <xdr:colOff>25026</xdr:colOff>
      <xdr:row>1</xdr:row>
      <xdr:rowOff>857229</xdr:rowOff>
    </xdr:from>
    <xdr:ext cx="921643" cy="921643"/>
    <xdr:pic>
      <xdr:nvPicPr>
        <xdr:cNvPr id="3" name="صورة 2">
          <a:extLst>
            <a:ext uri="{FF2B5EF4-FFF2-40B4-BE49-F238E27FC236}">
              <a16:creationId xmlns:a16="http://schemas.microsoft.com/office/drawing/2014/main" id="{ABEDB454-5439-463C-9B88-BFA94F04B6F2}"/>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a:xfrm>
          <a:off x="273504" y="1047729"/>
          <a:ext cx="921643" cy="921643"/>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oneCell">
    <xdr:from>
      <xdr:col>2</xdr:col>
      <xdr:colOff>446943</xdr:colOff>
      <xdr:row>2</xdr:row>
      <xdr:rowOff>183172</xdr:rowOff>
    </xdr:from>
    <xdr:to>
      <xdr:col>5</xdr:col>
      <xdr:colOff>512501</xdr:colOff>
      <xdr:row>3</xdr:row>
      <xdr:rowOff>1641231</xdr:rowOff>
    </xdr:to>
    <xdr:pic>
      <xdr:nvPicPr>
        <xdr:cNvPr id="2" name="صورة 1" descr="SFG_Logo_01.png">
          <a:extLst>
            <a:ext uri="{FF2B5EF4-FFF2-40B4-BE49-F238E27FC236}">
              <a16:creationId xmlns:a16="http://schemas.microsoft.com/office/drawing/2014/main" id="{852EB099-77E2-4BE4-BD8F-6FA3794C1907}"/>
            </a:ext>
          </a:extLst>
        </xdr:cNvPr>
        <xdr:cNvPicPr>
          <a:picLocks noChangeAspect="1"/>
        </xdr:cNvPicPr>
      </xdr:nvPicPr>
      <xdr:blipFill>
        <a:blip xmlns:r="http://schemas.openxmlformats.org/officeDocument/2006/relationships" r:embed="rId1" cstate="print"/>
        <a:stretch>
          <a:fillRect/>
        </a:stretch>
      </xdr:blipFill>
      <xdr:spPr>
        <a:xfrm>
          <a:off x="2593731" y="564172"/>
          <a:ext cx="2161058" cy="1648559"/>
        </a:xfrm>
        <a:prstGeom prst="rect">
          <a:avLst/>
        </a:prstGeom>
      </xdr:spPr>
    </xdr:pic>
    <xdr:clientData/>
  </xdr:twoCellAnchor>
  <xdr:twoCellAnchor editAs="oneCell">
    <xdr:from>
      <xdr:col>1</xdr:col>
      <xdr:colOff>5275</xdr:colOff>
      <xdr:row>3</xdr:row>
      <xdr:rowOff>773766</xdr:rowOff>
    </xdr:from>
    <xdr:to>
      <xdr:col>1</xdr:col>
      <xdr:colOff>926918</xdr:colOff>
      <xdr:row>3</xdr:row>
      <xdr:rowOff>1695409</xdr:rowOff>
    </xdr:to>
    <xdr:pic>
      <xdr:nvPicPr>
        <xdr:cNvPr id="3" name="صورة 2">
          <a:extLst>
            <a:ext uri="{FF2B5EF4-FFF2-40B4-BE49-F238E27FC236}">
              <a16:creationId xmlns:a16="http://schemas.microsoft.com/office/drawing/2014/main" id="{21DCB173-0822-4010-93EF-D2BECC6802B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a:xfrm>
          <a:off x="254390" y="1345266"/>
          <a:ext cx="921643" cy="921643"/>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819476</xdr:colOff>
      <xdr:row>0</xdr:row>
      <xdr:rowOff>30187</xdr:rowOff>
    </xdr:from>
    <xdr:to>
      <xdr:col>3</xdr:col>
      <xdr:colOff>340928</xdr:colOff>
      <xdr:row>3</xdr:row>
      <xdr:rowOff>29309</xdr:rowOff>
    </xdr:to>
    <xdr:pic>
      <xdr:nvPicPr>
        <xdr:cNvPr id="2" name="صورة 1" descr="SFG_Logo_01.png">
          <a:extLst>
            <a:ext uri="{FF2B5EF4-FFF2-40B4-BE49-F238E27FC236}">
              <a16:creationId xmlns:a16="http://schemas.microsoft.com/office/drawing/2014/main" id="{027B0553-14FE-42CA-BC3C-1D61494FF4C9}"/>
            </a:ext>
          </a:extLst>
        </xdr:cNvPr>
        <xdr:cNvPicPr>
          <a:picLocks noChangeAspect="1"/>
        </xdr:cNvPicPr>
      </xdr:nvPicPr>
      <xdr:blipFill>
        <a:blip xmlns:r="http://schemas.openxmlformats.org/officeDocument/2006/relationships" r:embed="rId1" cstate="print"/>
        <a:stretch>
          <a:fillRect/>
        </a:stretch>
      </xdr:blipFill>
      <xdr:spPr>
        <a:xfrm>
          <a:off x="4160553" y="30187"/>
          <a:ext cx="832971" cy="621910"/>
        </a:xfrm>
        <a:prstGeom prst="rect">
          <a:avLst/>
        </a:prstGeom>
      </xdr:spPr>
    </xdr:pic>
    <xdr:clientData/>
  </xdr:twoCellAnchor>
  <xdr:twoCellAnchor editAs="oneCell">
    <xdr:from>
      <xdr:col>0</xdr:col>
      <xdr:colOff>301874</xdr:colOff>
      <xdr:row>0</xdr:row>
      <xdr:rowOff>181502</xdr:rowOff>
    </xdr:from>
    <xdr:to>
      <xdr:col>1</xdr:col>
      <xdr:colOff>106381</xdr:colOff>
      <xdr:row>5</xdr:row>
      <xdr:rowOff>44624</xdr:rowOff>
    </xdr:to>
    <xdr:pic>
      <xdr:nvPicPr>
        <xdr:cNvPr id="3" name="صورة 2">
          <a:extLst>
            <a:ext uri="{FF2B5EF4-FFF2-40B4-BE49-F238E27FC236}">
              <a16:creationId xmlns:a16="http://schemas.microsoft.com/office/drawing/2014/main" id="{73245374-8896-4FEB-9117-07E6091D0508}"/>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a:xfrm>
          <a:off x="301874" y="181502"/>
          <a:ext cx="998795" cy="998795"/>
        </a:xfrm>
        <a:prstGeom prst="rect">
          <a:avLst/>
        </a:prstGeom>
      </xdr:spPr>
    </xdr:pic>
    <xdr:clientData/>
  </xdr:twoCellAnchor>
  <xdr:twoCellAnchor editAs="oneCell">
    <xdr:from>
      <xdr:col>3</xdr:col>
      <xdr:colOff>36635</xdr:colOff>
      <xdr:row>43</xdr:row>
      <xdr:rowOff>835271</xdr:rowOff>
    </xdr:from>
    <xdr:to>
      <xdr:col>3</xdr:col>
      <xdr:colOff>672611</xdr:colOff>
      <xdr:row>43</xdr:row>
      <xdr:rowOff>1471247</xdr:rowOff>
    </xdr:to>
    <xdr:pic>
      <xdr:nvPicPr>
        <xdr:cNvPr id="4" name="صورة 3">
          <a:extLst>
            <a:ext uri="{FF2B5EF4-FFF2-40B4-BE49-F238E27FC236}">
              <a16:creationId xmlns:a16="http://schemas.microsoft.com/office/drawing/2014/main" id="{7BEADC1D-F640-4C8A-B72B-9860FCAA92B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4689231" y="12104079"/>
          <a:ext cx="635976" cy="635976"/>
        </a:xfrm>
        <a:prstGeom prst="rect">
          <a:avLst/>
        </a:prstGeom>
      </xdr:spPr>
    </xdr:pic>
    <xdr:clientData/>
  </xdr:twoCellAnchor>
  <xdr:twoCellAnchor editAs="oneCell">
    <xdr:from>
      <xdr:col>4</xdr:col>
      <xdr:colOff>1399443</xdr:colOff>
      <xdr:row>0</xdr:row>
      <xdr:rowOff>161192</xdr:rowOff>
    </xdr:from>
    <xdr:to>
      <xdr:col>5</xdr:col>
      <xdr:colOff>288619</xdr:colOff>
      <xdr:row>5</xdr:row>
      <xdr:rowOff>2868</xdr:rowOff>
    </xdr:to>
    <xdr:pic>
      <xdr:nvPicPr>
        <xdr:cNvPr id="6" name="صورة 5">
          <a:extLst>
            <a:ext uri="{FF2B5EF4-FFF2-40B4-BE49-F238E27FC236}">
              <a16:creationId xmlns:a16="http://schemas.microsoft.com/office/drawing/2014/main" id="{F5A78D46-255B-4753-B517-BAAB3EDE5E21}"/>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7663962" y="161192"/>
          <a:ext cx="977349" cy="977349"/>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819476</xdr:colOff>
      <xdr:row>0</xdr:row>
      <xdr:rowOff>30187</xdr:rowOff>
    </xdr:from>
    <xdr:to>
      <xdr:col>3</xdr:col>
      <xdr:colOff>340928</xdr:colOff>
      <xdr:row>3</xdr:row>
      <xdr:rowOff>29309</xdr:rowOff>
    </xdr:to>
    <xdr:pic>
      <xdr:nvPicPr>
        <xdr:cNvPr id="2" name="صورة 1" descr="SFG_Logo_01.png">
          <a:extLst>
            <a:ext uri="{FF2B5EF4-FFF2-40B4-BE49-F238E27FC236}">
              <a16:creationId xmlns:a16="http://schemas.microsoft.com/office/drawing/2014/main" id="{A352F4FC-CF06-484E-AFDA-80B577C1915D}"/>
            </a:ext>
          </a:extLst>
        </xdr:cNvPr>
        <xdr:cNvPicPr>
          <a:picLocks noChangeAspect="1"/>
        </xdr:cNvPicPr>
      </xdr:nvPicPr>
      <xdr:blipFill>
        <a:blip xmlns:r="http://schemas.openxmlformats.org/officeDocument/2006/relationships" r:embed="rId1" cstate="print"/>
        <a:stretch>
          <a:fillRect/>
        </a:stretch>
      </xdr:blipFill>
      <xdr:spPr>
        <a:xfrm>
          <a:off x="4153226" y="30187"/>
          <a:ext cx="835902" cy="618247"/>
        </a:xfrm>
        <a:prstGeom prst="rect">
          <a:avLst/>
        </a:prstGeom>
      </xdr:spPr>
    </xdr:pic>
    <xdr:clientData/>
  </xdr:twoCellAnchor>
  <xdr:twoCellAnchor editAs="oneCell">
    <xdr:from>
      <xdr:col>0</xdr:col>
      <xdr:colOff>301874</xdr:colOff>
      <xdr:row>0</xdr:row>
      <xdr:rowOff>181502</xdr:rowOff>
    </xdr:from>
    <xdr:to>
      <xdr:col>1</xdr:col>
      <xdr:colOff>106381</xdr:colOff>
      <xdr:row>5</xdr:row>
      <xdr:rowOff>44624</xdr:rowOff>
    </xdr:to>
    <xdr:pic>
      <xdr:nvPicPr>
        <xdr:cNvPr id="3" name="صورة 2">
          <a:extLst>
            <a:ext uri="{FF2B5EF4-FFF2-40B4-BE49-F238E27FC236}">
              <a16:creationId xmlns:a16="http://schemas.microsoft.com/office/drawing/2014/main" id="{9A9BF57A-E4F6-458E-99C3-332651FF4F5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a:xfrm>
          <a:off x="301874" y="181502"/>
          <a:ext cx="998795" cy="998795"/>
        </a:xfrm>
        <a:prstGeom prst="rect">
          <a:avLst/>
        </a:prstGeom>
      </xdr:spPr>
    </xdr:pic>
    <xdr:clientData/>
  </xdr:twoCellAnchor>
  <xdr:twoCellAnchor editAs="oneCell">
    <xdr:from>
      <xdr:col>3</xdr:col>
      <xdr:colOff>43962</xdr:colOff>
      <xdr:row>33</xdr:row>
      <xdr:rowOff>600809</xdr:rowOff>
    </xdr:from>
    <xdr:to>
      <xdr:col>3</xdr:col>
      <xdr:colOff>679938</xdr:colOff>
      <xdr:row>33</xdr:row>
      <xdr:rowOff>1236785</xdr:rowOff>
    </xdr:to>
    <xdr:pic>
      <xdr:nvPicPr>
        <xdr:cNvPr id="5" name="صورة 4">
          <a:extLst>
            <a:ext uri="{FF2B5EF4-FFF2-40B4-BE49-F238E27FC236}">
              <a16:creationId xmlns:a16="http://schemas.microsoft.com/office/drawing/2014/main" id="{D011F18E-8AAE-1F50-E1A0-029B5896B3B6}"/>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4696558" y="10506809"/>
          <a:ext cx="635976" cy="635976"/>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xdr:col>
      <xdr:colOff>1112553</xdr:colOff>
      <xdr:row>0</xdr:row>
      <xdr:rowOff>22860</xdr:rowOff>
    </xdr:from>
    <xdr:to>
      <xdr:col>3</xdr:col>
      <xdr:colOff>634005</xdr:colOff>
      <xdr:row>2</xdr:row>
      <xdr:rowOff>262178</xdr:rowOff>
    </xdr:to>
    <xdr:pic>
      <xdr:nvPicPr>
        <xdr:cNvPr id="2" name="صورة 1" descr="SFG_Logo_01.png">
          <a:extLst>
            <a:ext uri="{FF2B5EF4-FFF2-40B4-BE49-F238E27FC236}">
              <a16:creationId xmlns:a16="http://schemas.microsoft.com/office/drawing/2014/main" id="{C3F6C873-9ED5-40CD-9B77-1696734476A1}"/>
            </a:ext>
          </a:extLst>
        </xdr:cNvPr>
        <xdr:cNvPicPr>
          <a:picLocks noChangeAspect="1"/>
        </xdr:cNvPicPr>
      </xdr:nvPicPr>
      <xdr:blipFill>
        <a:blip xmlns:r="http://schemas.openxmlformats.org/officeDocument/2006/relationships" r:embed="rId1" cstate="print"/>
        <a:stretch>
          <a:fillRect/>
        </a:stretch>
      </xdr:blipFill>
      <xdr:spPr>
        <a:xfrm>
          <a:off x="3665253" y="22860"/>
          <a:ext cx="835902" cy="618247"/>
        </a:xfrm>
        <a:prstGeom prst="rect">
          <a:avLst/>
        </a:prstGeom>
      </xdr:spPr>
    </xdr:pic>
    <xdr:clientData/>
  </xdr:twoCellAnchor>
  <xdr:twoCellAnchor editAs="oneCell">
    <xdr:from>
      <xdr:col>2</xdr:col>
      <xdr:colOff>1112553</xdr:colOff>
      <xdr:row>0</xdr:row>
      <xdr:rowOff>22860</xdr:rowOff>
    </xdr:from>
    <xdr:to>
      <xdr:col>3</xdr:col>
      <xdr:colOff>634005</xdr:colOff>
      <xdr:row>2</xdr:row>
      <xdr:rowOff>262178</xdr:rowOff>
    </xdr:to>
    <xdr:pic>
      <xdr:nvPicPr>
        <xdr:cNvPr id="4" name="صورة 3" descr="SFG_Logo_01.png">
          <a:extLst>
            <a:ext uri="{FF2B5EF4-FFF2-40B4-BE49-F238E27FC236}">
              <a16:creationId xmlns:a16="http://schemas.microsoft.com/office/drawing/2014/main" id="{9108D405-054E-4EDD-A272-21E6FFA6E9D8}"/>
            </a:ext>
          </a:extLst>
        </xdr:cNvPr>
        <xdr:cNvPicPr>
          <a:picLocks noChangeAspect="1"/>
        </xdr:cNvPicPr>
      </xdr:nvPicPr>
      <xdr:blipFill>
        <a:blip xmlns:r="http://schemas.openxmlformats.org/officeDocument/2006/relationships" r:embed="rId1" cstate="print"/>
        <a:stretch>
          <a:fillRect/>
        </a:stretch>
      </xdr:blipFill>
      <xdr:spPr>
        <a:xfrm>
          <a:off x="3665253" y="22860"/>
          <a:ext cx="835902" cy="618247"/>
        </a:xfrm>
        <a:prstGeom prst="rect">
          <a:avLst/>
        </a:prstGeom>
      </xdr:spPr>
    </xdr:pic>
    <xdr:clientData/>
  </xdr:twoCellAnchor>
  <xdr:twoCellAnchor editAs="oneCell">
    <xdr:from>
      <xdr:col>0</xdr:col>
      <xdr:colOff>215862</xdr:colOff>
      <xdr:row>1</xdr:row>
      <xdr:rowOff>31141</xdr:rowOff>
    </xdr:from>
    <xdr:to>
      <xdr:col>1</xdr:col>
      <xdr:colOff>807535</xdr:colOff>
      <xdr:row>5</xdr:row>
      <xdr:rowOff>9901</xdr:rowOff>
    </xdr:to>
    <xdr:pic>
      <xdr:nvPicPr>
        <xdr:cNvPr id="5" name="صورة 4">
          <a:extLst>
            <a:ext uri="{FF2B5EF4-FFF2-40B4-BE49-F238E27FC236}">
              <a16:creationId xmlns:a16="http://schemas.microsoft.com/office/drawing/2014/main" id="{AB375048-A0E6-42EE-9A05-FE061A5A6DFF}"/>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a:xfrm>
          <a:off x="215862" y="221641"/>
          <a:ext cx="997521" cy="997521"/>
        </a:xfrm>
        <a:prstGeom prst="rect">
          <a:avLst/>
        </a:prstGeom>
      </xdr:spPr>
    </xdr:pic>
    <xdr:clientData/>
  </xdr:twoCellAnchor>
  <xdr:twoCellAnchor editAs="oneCell">
    <xdr:from>
      <xdr:col>4</xdr:col>
      <xdr:colOff>1234108</xdr:colOff>
      <xdr:row>1</xdr:row>
      <xdr:rowOff>57977</xdr:rowOff>
    </xdr:from>
    <xdr:to>
      <xdr:col>5</xdr:col>
      <xdr:colOff>124239</xdr:colOff>
      <xdr:row>5</xdr:row>
      <xdr:rowOff>16565</xdr:rowOff>
    </xdr:to>
    <xdr:pic>
      <xdr:nvPicPr>
        <xdr:cNvPr id="3" name="صورة 2">
          <a:extLst>
            <a:ext uri="{FF2B5EF4-FFF2-40B4-BE49-F238E27FC236}">
              <a16:creationId xmlns:a16="http://schemas.microsoft.com/office/drawing/2014/main" id="{06F1062E-4294-4EA8-9606-B59DE7F9C2CD}"/>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6708912" y="248477"/>
          <a:ext cx="977349" cy="977349"/>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2</xdr:col>
      <xdr:colOff>1455965</xdr:colOff>
      <xdr:row>0</xdr:row>
      <xdr:rowOff>29231</xdr:rowOff>
    </xdr:from>
    <xdr:to>
      <xdr:col>3</xdr:col>
      <xdr:colOff>568703</xdr:colOff>
      <xdr:row>2</xdr:row>
      <xdr:rowOff>265044</xdr:rowOff>
    </xdr:to>
    <xdr:pic>
      <xdr:nvPicPr>
        <xdr:cNvPr id="2" name="صورة 1" descr="SFG_Logo_01.png">
          <a:extLst>
            <a:ext uri="{FF2B5EF4-FFF2-40B4-BE49-F238E27FC236}">
              <a16:creationId xmlns:a16="http://schemas.microsoft.com/office/drawing/2014/main" id="{FB79F369-3222-478C-9FDC-6C817981672F}"/>
            </a:ext>
          </a:extLst>
        </xdr:cNvPr>
        <xdr:cNvPicPr>
          <a:picLocks noChangeAspect="1"/>
        </xdr:cNvPicPr>
      </xdr:nvPicPr>
      <xdr:blipFill>
        <a:blip xmlns:r="http://schemas.openxmlformats.org/officeDocument/2006/relationships" r:embed="rId1" cstate="print"/>
        <a:stretch>
          <a:fillRect/>
        </a:stretch>
      </xdr:blipFill>
      <xdr:spPr>
        <a:xfrm>
          <a:off x="4789715" y="29231"/>
          <a:ext cx="827238" cy="616813"/>
        </a:xfrm>
        <a:prstGeom prst="rect">
          <a:avLst/>
        </a:prstGeom>
      </xdr:spPr>
    </xdr:pic>
    <xdr:clientData/>
  </xdr:twoCellAnchor>
  <xdr:twoCellAnchor editAs="oneCell">
    <xdr:from>
      <xdr:col>0</xdr:col>
      <xdr:colOff>200088</xdr:colOff>
      <xdr:row>0</xdr:row>
      <xdr:rowOff>189784</xdr:rowOff>
    </xdr:from>
    <xdr:to>
      <xdr:col>1</xdr:col>
      <xdr:colOff>1727</xdr:colOff>
      <xdr:row>5</xdr:row>
      <xdr:rowOff>16271</xdr:rowOff>
    </xdr:to>
    <xdr:pic>
      <xdr:nvPicPr>
        <xdr:cNvPr id="3" name="صورة 2">
          <a:extLst>
            <a:ext uri="{FF2B5EF4-FFF2-40B4-BE49-F238E27FC236}">
              <a16:creationId xmlns:a16="http://schemas.microsoft.com/office/drawing/2014/main" id="{3DDA608E-2CE1-48DC-85C0-E660081E18F5}"/>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a:xfrm>
          <a:off x="200088" y="189784"/>
          <a:ext cx="994335" cy="994335"/>
        </a:xfrm>
        <a:prstGeom prst="rect">
          <a:avLst/>
        </a:prstGeom>
      </xdr:spPr>
    </xdr:pic>
    <xdr:clientData/>
  </xdr:twoCellAnchor>
  <xdr:twoCellAnchor editAs="oneCell">
    <xdr:from>
      <xdr:col>4</xdr:col>
      <xdr:colOff>1648240</xdr:colOff>
      <xdr:row>1</xdr:row>
      <xdr:rowOff>8282</xdr:rowOff>
    </xdr:from>
    <xdr:to>
      <xdr:col>5</xdr:col>
      <xdr:colOff>911089</xdr:colOff>
      <xdr:row>5</xdr:row>
      <xdr:rowOff>8283</xdr:rowOff>
    </xdr:to>
    <xdr:pic>
      <xdr:nvPicPr>
        <xdr:cNvPr id="5" name="صورة 4">
          <a:extLst>
            <a:ext uri="{FF2B5EF4-FFF2-40B4-BE49-F238E27FC236}">
              <a16:creationId xmlns:a16="http://schemas.microsoft.com/office/drawing/2014/main" id="{6251CBEE-A4EB-424F-9D29-0B8B8EAE319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8415131" y="198782"/>
          <a:ext cx="977349" cy="977349"/>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3</xdr:col>
      <xdr:colOff>870764</xdr:colOff>
      <xdr:row>0</xdr:row>
      <xdr:rowOff>58615</xdr:rowOff>
    </xdr:from>
    <xdr:to>
      <xdr:col>4</xdr:col>
      <xdr:colOff>492706</xdr:colOff>
      <xdr:row>3</xdr:row>
      <xdr:rowOff>174968</xdr:rowOff>
    </xdr:to>
    <xdr:pic>
      <xdr:nvPicPr>
        <xdr:cNvPr id="2" name="صورة 1" descr="SFG_Logo_01.png">
          <a:extLst>
            <a:ext uri="{FF2B5EF4-FFF2-40B4-BE49-F238E27FC236}">
              <a16:creationId xmlns:a16="http://schemas.microsoft.com/office/drawing/2014/main" id="{F19C8B1A-E27D-4ABC-A8B5-82312E6CD477}"/>
            </a:ext>
          </a:extLst>
        </xdr:cNvPr>
        <xdr:cNvPicPr>
          <a:picLocks noChangeAspect="1"/>
        </xdr:cNvPicPr>
      </xdr:nvPicPr>
      <xdr:blipFill>
        <a:blip xmlns:r="http://schemas.openxmlformats.org/officeDocument/2006/relationships" r:embed="rId1" cstate="print"/>
        <a:stretch>
          <a:fillRect/>
        </a:stretch>
      </xdr:blipFill>
      <xdr:spPr>
        <a:xfrm>
          <a:off x="4057976" y="58615"/>
          <a:ext cx="911480" cy="680526"/>
        </a:xfrm>
        <a:prstGeom prst="rect">
          <a:avLst/>
        </a:prstGeom>
      </xdr:spPr>
    </xdr:pic>
    <xdr:clientData/>
  </xdr:twoCellAnchor>
  <xdr:twoCellAnchor editAs="oneCell">
    <xdr:from>
      <xdr:col>1</xdr:col>
      <xdr:colOff>289030</xdr:colOff>
      <xdr:row>0</xdr:row>
      <xdr:rowOff>87923</xdr:rowOff>
    </xdr:from>
    <xdr:to>
      <xdr:col>1</xdr:col>
      <xdr:colOff>1285239</xdr:colOff>
      <xdr:row>5</xdr:row>
      <xdr:rowOff>75603</xdr:rowOff>
    </xdr:to>
    <xdr:pic>
      <xdr:nvPicPr>
        <xdr:cNvPr id="5" name="صورة 4">
          <a:extLst>
            <a:ext uri="{FF2B5EF4-FFF2-40B4-BE49-F238E27FC236}">
              <a16:creationId xmlns:a16="http://schemas.microsoft.com/office/drawing/2014/main" id="{B6D8C1EC-2617-4925-A26E-DF7C6FEDCAD8}"/>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a:xfrm>
          <a:off x="1331177" y="87923"/>
          <a:ext cx="996209" cy="996209"/>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3</xdr:col>
      <xdr:colOff>117231</xdr:colOff>
      <xdr:row>0</xdr:row>
      <xdr:rowOff>36634</xdr:rowOff>
    </xdr:from>
    <xdr:to>
      <xdr:col>5</xdr:col>
      <xdr:colOff>30999</xdr:colOff>
      <xdr:row>2</xdr:row>
      <xdr:rowOff>13339</xdr:rowOff>
    </xdr:to>
    <xdr:pic>
      <xdr:nvPicPr>
        <xdr:cNvPr id="2" name="صورة 1" descr="SFG_Logo_01.png">
          <a:extLst>
            <a:ext uri="{FF2B5EF4-FFF2-40B4-BE49-F238E27FC236}">
              <a16:creationId xmlns:a16="http://schemas.microsoft.com/office/drawing/2014/main" id="{340B1D39-FCB2-4D03-BA6E-38B2313B664A}"/>
            </a:ext>
          </a:extLst>
        </xdr:cNvPr>
        <xdr:cNvPicPr>
          <a:picLocks noChangeAspect="1"/>
        </xdr:cNvPicPr>
      </xdr:nvPicPr>
      <xdr:blipFill>
        <a:blip xmlns:r="http://schemas.openxmlformats.org/officeDocument/2006/relationships" r:embed="rId1" cstate="print"/>
        <a:stretch>
          <a:fillRect/>
        </a:stretch>
      </xdr:blipFill>
      <xdr:spPr>
        <a:xfrm>
          <a:off x="3079506" y="227134"/>
          <a:ext cx="942468" cy="719655"/>
        </a:xfrm>
        <a:prstGeom prst="rect">
          <a:avLst/>
        </a:prstGeom>
      </xdr:spPr>
    </xdr:pic>
    <xdr:clientData/>
  </xdr:twoCellAnchor>
  <xdr:twoCellAnchor editAs="oneCell">
    <xdr:from>
      <xdr:col>1</xdr:col>
      <xdr:colOff>107852</xdr:colOff>
      <xdr:row>1</xdr:row>
      <xdr:rowOff>92362</xdr:rowOff>
    </xdr:from>
    <xdr:to>
      <xdr:col>1</xdr:col>
      <xdr:colOff>1029495</xdr:colOff>
      <xdr:row>3</xdr:row>
      <xdr:rowOff>208043</xdr:rowOff>
    </xdr:to>
    <xdr:pic>
      <xdr:nvPicPr>
        <xdr:cNvPr id="3" name="صورة 2">
          <a:extLst>
            <a:ext uri="{FF2B5EF4-FFF2-40B4-BE49-F238E27FC236}">
              <a16:creationId xmlns:a16="http://schemas.microsoft.com/office/drawing/2014/main" id="{234AC186-6641-44DE-BCE8-96CEFEC1EC49}"/>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a:xfrm>
          <a:off x="356967" y="282862"/>
          <a:ext cx="921643" cy="921643"/>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2</xdr:col>
      <xdr:colOff>139212</xdr:colOff>
      <xdr:row>0</xdr:row>
      <xdr:rowOff>190499</xdr:rowOff>
    </xdr:from>
    <xdr:to>
      <xdr:col>4</xdr:col>
      <xdr:colOff>52980</xdr:colOff>
      <xdr:row>2</xdr:row>
      <xdr:rowOff>526223</xdr:rowOff>
    </xdr:to>
    <xdr:pic>
      <xdr:nvPicPr>
        <xdr:cNvPr id="2" name="صورة 1" descr="SFG_Logo_01.png">
          <a:extLst>
            <a:ext uri="{FF2B5EF4-FFF2-40B4-BE49-F238E27FC236}">
              <a16:creationId xmlns:a16="http://schemas.microsoft.com/office/drawing/2014/main" id="{4B16A1FF-BF3A-4DC1-8303-435776DA9B1F}"/>
            </a:ext>
          </a:extLst>
        </xdr:cNvPr>
        <xdr:cNvPicPr>
          <a:picLocks noChangeAspect="1"/>
        </xdr:cNvPicPr>
      </xdr:nvPicPr>
      <xdr:blipFill>
        <a:blip xmlns:r="http://schemas.openxmlformats.org/officeDocument/2006/relationships" r:embed="rId1" cstate="print"/>
        <a:stretch>
          <a:fillRect/>
        </a:stretch>
      </xdr:blipFill>
      <xdr:spPr>
        <a:xfrm>
          <a:off x="3106616" y="190499"/>
          <a:ext cx="939537" cy="716724"/>
        </a:xfrm>
        <a:prstGeom prst="rect">
          <a:avLst/>
        </a:prstGeom>
      </xdr:spPr>
    </xdr:pic>
    <xdr:clientData/>
  </xdr:twoCellAnchor>
  <xdr:twoCellAnchor editAs="oneCell">
    <xdr:from>
      <xdr:col>0</xdr:col>
      <xdr:colOff>137161</xdr:colOff>
      <xdr:row>1</xdr:row>
      <xdr:rowOff>70382</xdr:rowOff>
    </xdr:from>
    <xdr:to>
      <xdr:col>0</xdr:col>
      <xdr:colOff>1058804</xdr:colOff>
      <xdr:row>3</xdr:row>
      <xdr:rowOff>252006</xdr:rowOff>
    </xdr:to>
    <xdr:pic>
      <xdr:nvPicPr>
        <xdr:cNvPr id="3" name="صورة 2">
          <a:extLst>
            <a:ext uri="{FF2B5EF4-FFF2-40B4-BE49-F238E27FC236}">
              <a16:creationId xmlns:a16="http://schemas.microsoft.com/office/drawing/2014/main" id="{E2909DEC-C8F8-4F16-8548-B4D3BD20979D}"/>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a:xfrm>
          <a:off x="137161" y="260882"/>
          <a:ext cx="921643" cy="921643"/>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819150</xdr:colOff>
      <xdr:row>0</xdr:row>
      <xdr:rowOff>0</xdr:rowOff>
    </xdr:from>
    <xdr:to>
      <xdr:col>2</xdr:col>
      <xdr:colOff>619126</xdr:colOff>
      <xdr:row>3</xdr:row>
      <xdr:rowOff>28575</xdr:rowOff>
    </xdr:to>
    <xdr:pic>
      <xdr:nvPicPr>
        <xdr:cNvPr id="2" name="صورة 1" descr="SFG_Logo_01.png">
          <a:extLst>
            <a:ext uri="{FF2B5EF4-FFF2-40B4-BE49-F238E27FC236}">
              <a16:creationId xmlns:a16="http://schemas.microsoft.com/office/drawing/2014/main" id="{5CB28183-8D04-4719-8543-6FE790945695}"/>
            </a:ext>
          </a:extLst>
        </xdr:cNvPr>
        <xdr:cNvPicPr>
          <a:picLocks noChangeAspect="1"/>
        </xdr:cNvPicPr>
      </xdr:nvPicPr>
      <xdr:blipFill>
        <a:blip xmlns:r="http://schemas.openxmlformats.org/officeDocument/2006/relationships" r:embed="rId1" cstate="print"/>
        <a:stretch>
          <a:fillRect/>
        </a:stretch>
      </xdr:blipFill>
      <xdr:spPr>
        <a:xfrm>
          <a:off x="2962275" y="0"/>
          <a:ext cx="1238251" cy="771525"/>
        </a:xfrm>
        <a:prstGeom prst="rect">
          <a:avLst/>
        </a:prstGeom>
      </xdr:spPr>
    </xdr:pic>
    <xdr:clientData/>
  </xdr:twoCellAnchor>
  <xdr:twoCellAnchor editAs="oneCell">
    <xdr:from>
      <xdr:col>0</xdr:col>
      <xdr:colOff>238125</xdr:colOff>
      <xdr:row>1</xdr:row>
      <xdr:rowOff>19050</xdr:rowOff>
    </xdr:from>
    <xdr:to>
      <xdr:col>0</xdr:col>
      <xdr:colOff>1159768</xdr:colOff>
      <xdr:row>4</xdr:row>
      <xdr:rowOff>197743</xdr:rowOff>
    </xdr:to>
    <xdr:pic>
      <xdr:nvPicPr>
        <xdr:cNvPr id="3" name="صورة 2">
          <a:extLst>
            <a:ext uri="{FF2B5EF4-FFF2-40B4-BE49-F238E27FC236}">
              <a16:creationId xmlns:a16="http://schemas.microsoft.com/office/drawing/2014/main" id="{5C912CA1-585E-469C-8FFF-CD26EA972573}"/>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a:xfrm>
          <a:off x="238125" y="266700"/>
          <a:ext cx="921643" cy="921643"/>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2</xdr:col>
      <xdr:colOff>1112553</xdr:colOff>
      <xdr:row>0</xdr:row>
      <xdr:rowOff>22860</xdr:rowOff>
    </xdr:from>
    <xdr:to>
      <xdr:col>3</xdr:col>
      <xdr:colOff>634005</xdr:colOff>
      <xdr:row>2</xdr:row>
      <xdr:rowOff>262178</xdr:rowOff>
    </xdr:to>
    <xdr:pic>
      <xdr:nvPicPr>
        <xdr:cNvPr id="2" name="صورة 1" descr="SFG_Logo_01.png">
          <a:extLst>
            <a:ext uri="{FF2B5EF4-FFF2-40B4-BE49-F238E27FC236}">
              <a16:creationId xmlns:a16="http://schemas.microsoft.com/office/drawing/2014/main" id="{6CB0482F-14B1-405C-98DE-EA2126CC88DA}"/>
            </a:ext>
          </a:extLst>
        </xdr:cNvPr>
        <xdr:cNvPicPr>
          <a:picLocks noChangeAspect="1"/>
        </xdr:cNvPicPr>
      </xdr:nvPicPr>
      <xdr:blipFill>
        <a:blip xmlns:r="http://schemas.openxmlformats.org/officeDocument/2006/relationships" r:embed="rId1" cstate="print"/>
        <a:stretch>
          <a:fillRect/>
        </a:stretch>
      </xdr:blipFill>
      <xdr:spPr>
        <a:xfrm>
          <a:off x="3665253" y="22860"/>
          <a:ext cx="835902" cy="620318"/>
        </a:xfrm>
        <a:prstGeom prst="rect">
          <a:avLst/>
        </a:prstGeom>
      </xdr:spPr>
    </xdr:pic>
    <xdr:clientData/>
  </xdr:twoCellAnchor>
  <xdr:twoCellAnchor editAs="oneCell">
    <xdr:from>
      <xdr:col>2</xdr:col>
      <xdr:colOff>1112553</xdr:colOff>
      <xdr:row>0</xdr:row>
      <xdr:rowOff>22860</xdr:rowOff>
    </xdr:from>
    <xdr:to>
      <xdr:col>3</xdr:col>
      <xdr:colOff>634005</xdr:colOff>
      <xdr:row>2</xdr:row>
      <xdr:rowOff>262178</xdr:rowOff>
    </xdr:to>
    <xdr:pic>
      <xdr:nvPicPr>
        <xdr:cNvPr id="3" name="صورة 2" descr="SFG_Logo_01.png">
          <a:extLst>
            <a:ext uri="{FF2B5EF4-FFF2-40B4-BE49-F238E27FC236}">
              <a16:creationId xmlns:a16="http://schemas.microsoft.com/office/drawing/2014/main" id="{62B6904A-3DD9-438E-8C10-51FB7D709C94}"/>
            </a:ext>
          </a:extLst>
        </xdr:cNvPr>
        <xdr:cNvPicPr>
          <a:picLocks noChangeAspect="1"/>
        </xdr:cNvPicPr>
      </xdr:nvPicPr>
      <xdr:blipFill>
        <a:blip xmlns:r="http://schemas.openxmlformats.org/officeDocument/2006/relationships" r:embed="rId1" cstate="print"/>
        <a:stretch>
          <a:fillRect/>
        </a:stretch>
      </xdr:blipFill>
      <xdr:spPr>
        <a:xfrm>
          <a:off x="3665253" y="22860"/>
          <a:ext cx="835902" cy="620318"/>
        </a:xfrm>
        <a:prstGeom prst="rect">
          <a:avLst/>
        </a:prstGeom>
      </xdr:spPr>
    </xdr:pic>
    <xdr:clientData/>
  </xdr:twoCellAnchor>
  <xdr:twoCellAnchor editAs="oneCell">
    <xdr:from>
      <xdr:col>0</xdr:col>
      <xdr:colOff>215862</xdr:colOff>
      <xdr:row>1</xdr:row>
      <xdr:rowOff>22858</xdr:rowOff>
    </xdr:from>
    <xdr:to>
      <xdr:col>1</xdr:col>
      <xdr:colOff>807535</xdr:colOff>
      <xdr:row>5</xdr:row>
      <xdr:rowOff>1618</xdr:rowOff>
    </xdr:to>
    <xdr:pic>
      <xdr:nvPicPr>
        <xdr:cNvPr id="4" name="صورة 3">
          <a:extLst>
            <a:ext uri="{FF2B5EF4-FFF2-40B4-BE49-F238E27FC236}">
              <a16:creationId xmlns:a16="http://schemas.microsoft.com/office/drawing/2014/main" id="{30D2F59C-915B-4735-AC98-5ABCC618836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a:xfrm>
          <a:off x="215862" y="213358"/>
          <a:ext cx="997521" cy="997521"/>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H21"/>
  <sheetViews>
    <sheetView topLeftCell="A9" zoomScale="115" zoomScaleNormal="115" workbookViewId="0">
      <selection activeCell="G15" sqref="G15"/>
    </sheetView>
  </sheetViews>
  <sheetFormatPr defaultColWidth="8.85546875" defaultRowHeight="15.75"/>
  <cols>
    <col min="1" max="1" width="3.28515625" style="138" customWidth="1"/>
    <col min="2" max="2" width="33" style="10" customWidth="1"/>
    <col min="3" max="3" width="14" style="10" customWidth="1"/>
    <col min="4" max="5" width="6.7109375" style="10" customWidth="1"/>
    <col min="6" max="6" width="14" style="10" customWidth="1"/>
    <col min="7" max="7" width="26.5703125" style="10" customWidth="1"/>
    <col min="8" max="16384" width="8.85546875" style="138"/>
  </cols>
  <sheetData>
    <row r="1" spans="2:8">
      <c r="B1" s="8"/>
      <c r="C1" s="8"/>
      <c r="D1" s="8"/>
      <c r="E1" s="8"/>
      <c r="F1" s="8"/>
      <c r="G1" s="8"/>
    </row>
    <row r="2" spans="2:8" ht="141" customHeight="1">
      <c r="B2" s="8"/>
      <c r="C2" s="8"/>
      <c r="D2" s="8"/>
      <c r="E2" s="8"/>
      <c r="F2" s="8"/>
      <c r="G2" s="8"/>
    </row>
    <row r="3" spans="2:8" ht="21">
      <c r="B3" s="160" t="s">
        <v>76</v>
      </c>
      <c r="C3" s="160"/>
      <c r="D3" s="160"/>
      <c r="E3" s="160"/>
      <c r="F3" s="160"/>
      <c r="G3" s="160"/>
    </row>
    <row r="4" spans="2:8" ht="21">
      <c r="B4" s="160" t="s">
        <v>388</v>
      </c>
      <c r="C4" s="160"/>
      <c r="D4" s="160"/>
      <c r="E4" s="160"/>
      <c r="F4" s="160"/>
      <c r="G4" s="160"/>
    </row>
    <row r="5" spans="2:8">
      <c r="B5" s="161" t="s">
        <v>26</v>
      </c>
      <c r="C5" s="161"/>
      <c r="D5" s="161"/>
      <c r="E5" s="161"/>
      <c r="F5" s="161"/>
      <c r="G5" s="161"/>
      <c r="H5" s="50"/>
    </row>
    <row r="6" spans="2:8">
      <c r="B6" s="161" t="s">
        <v>1</v>
      </c>
      <c r="C6" s="161"/>
      <c r="D6" s="161"/>
      <c r="E6" s="161"/>
      <c r="F6" s="161"/>
      <c r="G6" s="161"/>
      <c r="H6" s="50"/>
    </row>
    <row r="7" spans="2:8" ht="16.5" customHeight="1" thickBot="1">
      <c r="B7" s="48"/>
      <c r="C7" s="48"/>
      <c r="D7" s="48"/>
      <c r="E7" s="48"/>
      <c r="F7" s="48"/>
      <c r="G7" s="48"/>
      <c r="H7" s="50"/>
    </row>
    <row r="8" spans="2:8" ht="25.5" customHeight="1" thickBot="1">
      <c r="B8" s="162" t="s">
        <v>417</v>
      </c>
      <c r="C8" s="163"/>
      <c r="D8" s="163"/>
      <c r="E8" s="163"/>
      <c r="F8" s="163"/>
      <c r="G8" s="164"/>
      <c r="H8" s="50"/>
    </row>
    <row r="9" spans="2:8" s="142" customFormat="1" ht="27" customHeight="1" thickBot="1">
      <c r="B9" s="141" t="s">
        <v>416</v>
      </c>
      <c r="C9" s="168" t="str">
        <f>'01- Residential'!C23</f>
        <v>MQ Plot 369, Building 5240</v>
      </c>
      <c r="D9" s="169"/>
      <c r="E9" s="169"/>
      <c r="F9" s="169"/>
      <c r="G9" s="170"/>
    </row>
    <row r="10" spans="2:8" s="142" customFormat="1" ht="27" customHeight="1" thickBot="1">
      <c r="B10" s="143" t="s">
        <v>415</v>
      </c>
      <c r="C10" s="168" t="str">
        <f>'01- Residential'!C24</f>
        <v>Flat</v>
      </c>
      <c r="D10" s="169"/>
      <c r="E10" s="169"/>
      <c r="F10" s="169"/>
      <c r="G10" s="170"/>
    </row>
    <row r="11" spans="2:8" s="142" customFormat="1" ht="27" customHeight="1" thickBot="1">
      <c r="B11" s="143" t="s">
        <v>414</v>
      </c>
      <c r="C11" s="168" t="str">
        <f>'01- Residential'!C25</f>
        <v>Third Floor</v>
      </c>
      <c r="D11" s="169"/>
      <c r="E11" s="169"/>
      <c r="F11" s="169"/>
      <c r="G11" s="170"/>
    </row>
    <row r="12" spans="2:8" s="142" customFormat="1" ht="27" customHeight="1" thickBot="1">
      <c r="B12" s="143" t="s">
        <v>413</v>
      </c>
      <c r="C12" s="165">
        <f>'01- Residential'!C26</f>
        <v>301</v>
      </c>
      <c r="D12" s="166"/>
      <c r="E12" s="166"/>
      <c r="F12" s="166"/>
      <c r="G12" s="167"/>
    </row>
    <row r="13" spans="2:8" s="142" customFormat="1" ht="27" customHeight="1" thickBot="1">
      <c r="B13" s="143" t="s">
        <v>412</v>
      </c>
      <c r="C13" s="165" t="str">
        <f>'01- Residential'!C27</f>
        <v>Q137673</v>
      </c>
      <c r="D13" s="166"/>
      <c r="E13" s="166"/>
      <c r="F13" s="166"/>
      <c r="G13" s="167"/>
    </row>
    <row r="14" spans="2:8" s="142" customFormat="1" ht="27" customHeight="1" thickBot="1">
      <c r="B14" s="143" t="s">
        <v>411</v>
      </c>
      <c r="C14" s="165">
        <f>'01- Residential'!C28</f>
        <v>90517548</v>
      </c>
      <c r="D14" s="166"/>
      <c r="E14" s="166"/>
      <c r="F14" s="166"/>
      <c r="G14" s="167"/>
    </row>
    <row r="15" spans="2:8">
      <c r="F15" s="87"/>
      <c r="G15" s="88"/>
    </row>
    <row r="16" spans="2:8">
      <c r="F16" s="87"/>
      <c r="G16" s="88"/>
    </row>
    <row r="17" spans="6:7">
      <c r="F17" s="87"/>
      <c r="G17" s="88"/>
    </row>
    <row r="18" spans="6:7">
      <c r="F18" s="87"/>
      <c r="G18" s="88"/>
    </row>
    <row r="19" spans="6:7">
      <c r="F19" s="87"/>
      <c r="G19" s="88"/>
    </row>
    <row r="20" spans="6:7">
      <c r="F20" s="87"/>
      <c r="G20" s="88"/>
    </row>
    <row r="21" spans="6:7">
      <c r="F21" s="87"/>
      <c r="G21" s="88"/>
    </row>
  </sheetData>
  <sheetProtection sheet="1" formatCells="0" formatColumns="0" formatRows="0" insertColumns="0" insertRows="0" insertHyperlinks="0" deleteColumns="0" deleteRows="0" sort="0" autoFilter="0" pivotTables="0"/>
  <mergeCells count="11">
    <mergeCell ref="C14:G14"/>
    <mergeCell ref="C9:G9"/>
    <mergeCell ref="C10:G10"/>
    <mergeCell ref="C11:G11"/>
    <mergeCell ref="C12:G12"/>
    <mergeCell ref="C13:G13"/>
    <mergeCell ref="B3:G3"/>
    <mergeCell ref="B4:G4"/>
    <mergeCell ref="B5:G5"/>
    <mergeCell ref="B6:G6"/>
    <mergeCell ref="B8:G8"/>
  </mergeCells>
  <printOptions horizontalCentered="1"/>
  <pageMargins left="1.1811023622047245" right="1.1811023622047245" top="0.39370078740157483" bottom="1.1811023622047245" header="0.31496062992125984" footer="0.39370078740157483"/>
  <pageSetup paperSize="9" scale="68"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3:H27"/>
  <sheetViews>
    <sheetView view="pageBreakPreview" topLeftCell="A4" zoomScale="60" zoomScaleNormal="130" workbookViewId="0">
      <selection activeCell="G4" sqref="G4"/>
    </sheetView>
  </sheetViews>
  <sheetFormatPr defaultColWidth="8.85546875" defaultRowHeight="15.75"/>
  <cols>
    <col min="1" max="1" width="3.28515625" style="138" customWidth="1"/>
    <col min="2" max="2" width="24.85546875" style="10" customWidth="1"/>
    <col min="3" max="3" width="14" style="10" customWidth="1"/>
    <col min="4" max="5" width="6.7109375" style="10" customWidth="1"/>
    <col min="6" max="6" width="14" style="10" customWidth="1"/>
    <col min="7" max="7" width="24.85546875" style="10" customWidth="1"/>
    <col min="8" max="16384" width="8.85546875" style="138"/>
  </cols>
  <sheetData>
    <row r="3" spans="2:8">
      <c r="B3" s="8"/>
      <c r="C3" s="8"/>
      <c r="D3" s="8"/>
      <c r="E3" s="8"/>
      <c r="F3" s="8"/>
      <c r="G3" s="8"/>
    </row>
    <row r="4" spans="2:8" ht="134.25" customHeight="1">
      <c r="B4" s="8"/>
      <c r="C4" s="8"/>
      <c r="D4" s="8"/>
      <c r="E4" s="8"/>
      <c r="F4" s="8"/>
      <c r="G4" s="8"/>
    </row>
    <row r="5" spans="2:8" ht="21">
      <c r="B5" s="160" t="s">
        <v>76</v>
      </c>
      <c r="C5" s="160"/>
      <c r="D5" s="160"/>
      <c r="E5" s="160"/>
      <c r="F5" s="160"/>
      <c r="G5" s="160"/>
    </row>
    <row r="6" spans="2:8" ht="21">
      <c r="B6" s="160" t="s">
        <v>388</v>
      </c>
      <c r="C6" s="160"/>
      <c r="D6" s="160"/>
      <c r="E6" s="160"/>
      <c r="F6" s="160"/>
      <c r="G6" s="160"/>
    </row>
    <row r="7" spans="2:8">
      <c r="B7" s="161" t="s">
        <v>26</v>
      </c>
      <c r="C7" s="161"/>
      <c r="D7" s="161"/>
      <c r="E7" s="161"/>
      <c r="F7" s="161"/>
      <c r="G7" s="161"/>
      <c r="H7" s="50"/>
    </row>
    <row r="8" spans="2:8">
      <c r="B8" s="161" t="s">
        <v>1</v>
      </c>
      <c r="C8" s="161"/>
      <c r="D8" s="161"/>
      <c r="E8" s="161"/>
      <c r="F8" s="161"/>
      <c r="G8" s="161"/>
      <c r="H8" s="50"/>
    </row>
    <row r="9" spans="2:8" ht="16.5" customHeight="1" thickBot="1">
      <c r="B9" s="48"/>
      <c r="C9" s="48"/>
      <c r="D9" s="48"/>
      <c r="E9" s="48"/>
      <c r="F9" s="48"/>
      <c r="G9" s="48"/>
      <c r="H9" s="50"/>
    </row>
    <row r="10" spans="2:8" ht="25.5" customHeight="1" thickBot="1">
      <c r="B10" s="162" t="s">
        <v>402</v>
      </c>
      <c r="C10" s="163"/>
      <c r="D10" s="163"/>
      <c r="E10" s="163"/>
      <c r="F10" s="163"/>
      <c r="G10" s="164"/>
      <c r="H10" s="50"/>
    </row>
    <row r="11" spans="2:8" ht="19.5" thickBot="1">
      <c r="B11" s="139" t="s">
        <v>403</v>
      </c>
      <c r="C11" s="172" t="s">
        <v>404</v>
      </c>
      <c r="D11" s="172"/>
      <c r="E11" s="172"/>
      <c r="F11" s="172"/>
      <c r="G11" s="172"/>
    </row>
    <row r="12" spans="2:8" ht="19.5" thickBot="1">
      <c r="B12" s="140">
        <v>1</v>
      </c>
      <c r="C12" s="171" t="s">
        <v>405</v>
      </c>
      <c r="D12" s="171"/>
      <c r="E12" s="171"/>
      <c r="F12" s="171"/>
      <c r="G12" s="171"/>
    </row>
    <row r="13" spans="2:8" ht="19.5" thickBot="1">
      <c r="B13" s="140">
        <v>2</v>
      </c>
      <c r="C13" s="171" t="s">
        <v>96</v>
      </c>
      <c r="D13" s="171"/>
      <c r="E13" s="171"/>
      <c r="F13" s="171"/>
      <c r="G13" s="171"/>
    </row>
    <row r="14" spans="2:8" ht="19.5" thickBot="1">
      <c r="B14" s="140">
        <v>3</v>
      </c>
      <c r="C14" s="171" t="s">
        <v>406</v>
      </c>
      <c r="D14" s="171"/>
      <c r="E14" s="171"/>
      <c r="F14" s="171"/>
      <c r="G14" s="171"/>
    </row>
    <row r="15" spans="2:8" ht="19.5" thickBot="1">
      <c r="B15" s="140">
        <v>4</v>
      </c>
      <c r="C15" s="171" t="s">
        <v>254</v>
      </c>
      <c r="D15" s="171"/>
      <c r="E15" s="171"/>
      <c r="F15" s="171"/>
      <c r="G15" s="171"/>
    </row>
    <row r="16" spans="2:8" ht="19.5" thickBot="1">
      <c r="B16" s="140">
        <v>5</v>
      </c>
      <c r="C16" s="171" t="s">
        <v>407</v>
      </c>
      <c r="D16" s="171"/>
      <c r="E16" s="171"/>
      <c r="F16" s="171"/>
      <c r="G16" s="171"/>
    </row>
    <row r="17" spans="2:7" ht="19.5" thickBot="1">
      <c r="B17" s="140">
        <v>6</v>
      </c>
      <c r="C17" s="171" t="s">
        <v>408</v>
      </c>
      <c r="D17" s="171"/>
      <c r="E17" s="171"/>
      <c r="F17" s="171"/>
      <c r="G17" s="171"/>
    </row>
    <row r="18" spans="2:7" ht="19.5" thickBot="1">
      <c r="B18" s="140">
        <v>7</v>
      </c>
      <c r="C18" s="171" t="s">
        <v>409</v>
      </c>
      <c r="D18" s="171"/>
      <c r="E18" s="171"/>
      <c r="F18" s="171"/>
      <c r="G18" s="171"/>
    </row>
    <row r="19" spans="2:7" ht="19.5" thickBot="1">
      <c r="B19" s="140">
        <v>8</v>
      </c>
      <c r="C19" s="171" t="s">
        <v>410</v>
      </c>
      <c r="D19" s="171"/>
      <c r="E19" s="171"/>
      <c r="F19" s="171"/>
      <c r="G19" s="171"/>
    </row>
    <row r="20" spans="2:7">
      <c r="F20" s="87"/>
      <c r="G20" s="88"/>
    </row>
    <row r="21" spans="2:7">
      <c r="F21" s="87"/>
      <c r="G21" s="88"/>
    </row>
    <row r="22" spans="2:7">
      <c r="F22" s="87"/>
      <c r="G22" s="88"/>
    </row>
    <row r="23" spans="2:7">
      <c r="F23" s="87"/>
      <c r="G23" s="88"/>
    </row>
    <row r="24" spans="2:7">
      <c r="F24" s="87"/>
      <c r="G24" s="88"/>
    </row>
    <row r="25" spans="2:7">
      <c r="F25" s="87"/>
      <c r="G25" s="88"/>
    </row>
    <row r="26" spans="2:7">
      <c r="F26" s="87"/>
      <c r="G26" s="88"/>
    </row>
    <row r="27" spans="2:7">
      <c r="F27" s="87"/>
      <c r="G27" s="88"/>
    </row>
  </sheetData>
  <sheetProtection sheet="1" formatCells="0" formatColumns="0" formatRows="0" insertColumns="0" insertRows="0" insertHyperlinks="0" deleteColumns="0" deleteRows="0" sort="0" autoFilter="0" pivotTables="0"/>
  <mergeCells count="14">
    <mergeCell ref="C11:G11"/>
    <mergeCell ref="B5:G5"/>
    <mergeCell ref="B6:G6"/>
    <mergeCell ref="B7:G7"/>
    <mergeCell ref="B8:G8"/>
    <mergeCell ref="B10:G10"/>
    <mergeCell ref="C18:G18"/>
    <mergeCell ref="C19:G19"/>
    <mergeCell ref="C12:G12"/>
    <mergeCell ref="C13:G13"/>
    <mergeCell ref="C14:G14"/>
    <mergeCell ref="C15:G15"/>
    <mergeCell ref="C16:G16"/>
    <mergeCell ref="C17:G17"/>
  </mergeCells>
  <printOptions horizontalCentered="1"/>
  <pageMargins left="0.59055118110236227" right="0.59055118110236227" top="0" bottom="1.1811023622047245" header="0.31496062992125984" footer="0.39370078740157483"/>
  <pageSetup paperSize="9" scale="75"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45"/>
  <sheetViews>
    <sheetView view="pageBreakPreview" topLeftCell="A14" zoomScale="130" zoomScaleNormal="130" zoomScaleSheetLayoutView="130" workbookViewId="0">
      <selection activeCell="C34" sqref="C34:D34"/>
    </sheetView>
  </sheetViews>
  <sheetFormatPr defaultColWidth="8.85546875" defaultRowHeight="15.75"/>
  <cols>
    <col min="1" max="1" width="15.5703125" style="9" bestFit="1" customWidth="1"/>
    <col min="2" max="2" width="28.140625" style="10" bestFit="1" customWidth="1"/>
    <col min="3" max="3" width="17.28515625" style="10" bestFit="1" customWidth="1"/>
    <col min="4" max="4" width="21.140625" style="10" bestFit="1" customWidth="1"/>
    <col min="5" max="5" width="27.42578125" style="10" bestFit="1" customWidth="1"/>
    <col min="6" max="6" width="7.85546875" style="9" bestFit="1" customWidth="1"/>
    <col min="7" max="16384" width="8.85546875" style="9"/>
  </cols>
  <sheetData>
    <row r="1" spans="1:6">
      <c r="B1" s="8"/>
      <c r="C1" s="8"/>
      <c r="D1" s="8"/>
      <c r="E1" s="8"/>
    </row>
    <row r="2" spans="1:6">
      <c r="B2" s="8"/>
      <c r="C2" s="8"/>
      <c r="D2" s="8"/>
      <c r="E2" s="8"/>
    </row>
    <row r="3" spans="1:6" ht="18.75" customHeight="1">
      <c r="B3" s="8"/>
      <c r="C3" s="8"/>
      <c r="D3" s="8"/>
      <c r="E3" s="8"/>
    </row>
    <row r="4" spans="1:6" ht="21">
      <c r="A4" s="229" t="s">
        <v>76</v>
      </c>
      <c r="B4" s="229"/>
      <c r="C4" s="229"/>
      <c r="D4" s="229"/>
      <c r="E4" s="229"/>
      <c r="F4" s="229"/>
    </row>
    <row r="5" spans="1:6" ht="21">
      <c r="A5" s="229" t="s">
        <v>388</v>
      </c>
      <c r="B5" s="229"/>
      <c r="C5" s="229"/>
      <c r="D5" s="229"/>
      <c r="E5" s="229"/>
      <c r="F5" s="229"/>
    </row>
    <row r="6" spans="1:6">
      <c r="A6" s="237" t="s">
        <v>26</v>
      </c>
      <c r="B6" s="237"/>
      <c r="C6" s="237"/>
      <c r="D6" s="237"/>
      <c r="E6" s="237"/>
      <c r="F6" s="237"/>
    </row>
    <row r="7" spans="1:6">
      <c r="A7" s="237" t="s">
        <v>1</v>
      </c>
      <c r="B7" s="237"/>
      <c r="C7" s="237"/>
      <c r="D7" s="237"/>
      <c r="E7" s="237"/>
      <c r="F7" s="237"/>
    </row>
    <row r="8" spans="1:6" ht="16.5" thickBot="1">
      <c r="A8" s="236"/>
      <c r="B8" s="236"/>
      <c r="C8" s="236"/>
      <c r="D8" s="236"/>
      <c r="E8" s="236"/>
      <c r="F8" s="236"/>
    </row>
    <row r="9" spans="1:6" s="110" customFormat="1" ht="16.5" thickBot="1">
      <c r="A9" s="238" t="s">
        <v>401</v>
      </c>
      <c r="B9" s="239"/>
      <c r="C9" s="239"/>
      <c r="D9" s="230" t="s">
        <v>400</v>
      </c>
      <c r="E9" s="230"/>
      <c r="F9" s="231"/>
    </row>
    <row r="10" spans="1:6">
      <c r="A10" s="240" t="s">
        <v>53</v>
      </c>
      <c r="B10" s="241"/>
      <c r="C10" s="241" t="s">
        <v>77</v>
      </c>
      <c r="D10" s="241"/>
      <c r="E10" s="232" t="s">
        <v>52</v>
      </c>
      <c r="F10" s="233"/>
    </row>
    <row r="11" spans="1:6" ht="16.5" thickBot="1">
      <c r="A11" s="242" t="s">
        <v>15</v>
      </c>
      <c r="B11" s="243"/>
      <c r="C11" s="244">
        <v>20241115892</v>
      </c>
      <c r="D11" s="244"/>
      <c r="E11" s="234" t="s">
        <v>14</v>
      </c>
      <c r="F11" s="235"/>
    </row>
    <row r="12" spans="1:6" s="111" customFormat="1" ht="16.5" thickBot="1">
      <c r="A12" s="189" t="s">
        <v>2</v>
      </c>
      <c r="B12" s="190"/>
      <c r="C12" s="190"/>
      <c r="D12" s="194" t="s">
        <v>5</v>
      </c>
      <c r="E12" s="194"/>
      <c r="F12" s="195"/>
    </row>
    <row r="13" spans="1:6" ht="24.95" customHeight="1" thickBot="1">
      <c r="A13" s="248" t="s">
        <v>4</v>
      </c>
      <c r="B13" s="249"/>
      <c r="C13" s="245" t="s">
        <v>50</v>
      </c>
      <c r="D13" s="245"/>
      <c r="E13" s="246" t="s">
        <v>3</v>
      </c>
      <c r="F13" s="247"/>
    </row>
    <row r="14" spans="1:6" s="110" customFormat="1" ht="16.5" thickBot="1">
      <c r="A14" s="189" t="s">
        <v>7</v>
      </c>
      <c r="B14" s="190"/>
      <c r="C14" s="190"/>
      <c r="D14" s="194" t="s">
        <v>6</v>
      </c>
      <c r="E14" s="194"/>
      <c r="F14" s="195"/>
    </row>
    <row r="15" spans="1:6">
      <c r="A15" s="196" t="s">
        <v>39</v>
      </c>
      <c r="B15" s="197"/>
      <c r="C15" s="260" t="s">
        <v>55</v>
      </c>
      <c r="D15" s="261"/>
      <c r="E15" s="175" t="s">
        <v>27</v>
      </c>
      <c r="F15" s="176"/>
    </row>
    <row r="16" spans="1:6" ht="15.75" customHeight="1">
      <c r="A16" s="177" t="s">
        <v>4</v>
      </c>
      <c r="B16" s="178"/>
      <c r="C16" s="219" t="s">
        <v>456</v>
      </c>
      <c r="D16" s="219"/>
      <c r="E16" s="179" t="s">
        <v>28</v>
      </c>
      <c r="F16" s="180"/>
    </row>
    <row r="17" spans="1:6">
      <c r="A17" s="177" t="s">
        <v>9</v>
      </c>
      <c r="B17" s="178"/>
      <c r="C17" s="219">
        <v>5640721</v>
      </c>
      <c r="D17" s="219"/>
      <c r="E17" s="225" t="s">
        <v>8</v>
      </c>
      <c r="F17" s="226"/>
    </row>
    <row r="18" spans="1:6">
      <c r="A18" s="220" t="s">
        <v>253</v>
      </c>
      <c r="B18" s="221"/>
      <c r="C18" s="216"/>
      <c r="D18" s="217"/>
      <c r="E18" s="227" t="s">
        <v>252</v>
      </c>
      <c r="F18" s="228"/>
    </row>
    <row r="19" spans="1:6">
      <c r="A19" s="177" t="s">
        <v>87</v>
      </c>
      <c r="B19" s="178"/>
      <c r="C19" s="147"/>
      <c r="D19" s="112" t="s">
        <v>460</v>
      </c>
      <c r="E19" s="179" t="s">
        <v>23</v>
      </c>
      <c r="F19" s="180"/>
    </row>
    <row r="20" spans="1:6">
      <c r="A20" s="177" t="s">
        <v>48</v>
      </c>
      <c r="B20" s="178"/>
      <c r="C20" s="144"/>
      <c r="D20" s="112"/>
      <c r="E20" s="179" t="s">
        <v>29</v>
      </c>
      <c r="F20" s="180"/>
    </row>
    <row r="21" spans="1:6" ht="16.5" thickBot="1">
      <c r="A21" s="177" t="s">
        <v>49</v>
      </c>
      <c r="B21" s="178"/>
      <c r="C21" s="223"/>
      <c r="D21" s="224"/>
      <c r="E21" s="179" t="s">
        <v>37</v>
      </c>
      <c r="F21" s="180"/>
    </row>
    <row r="22" spans="1:6" s="110" customFormat="1" ht="16.5" thickBot="1">
      <c r="A22" s="189" t="s">
        <v>10</v>
      </c>
      <c r="B22" s="190"/>
      <c r="C22" s="190"/>
      <c r="D22" s="194" t="s">
        <v>11</v>
      </c>
      <c r="E22" s="194"/>
      <c r="F22" s="195"/>
    </row>
    <row r="23" spans="1:6" ht="16.5" thickBot="1">
      <c r="A23" s="196" t="s">
        <v>13</v>
      </c>
      <c r="B23" s="197"/>
      <c r="C23" s="218" t="s">
        <v>390</v>
      </c>
      <c r="D23" s="218"/>
      <c r="E23" s="175" t="s">
        <v>24</v>
      </c>
      <c r="F23" s="176"/>
    </row>
    <row r="24" spans="1:6" ht="16.5" thickBot="1">
      <c r="A24" s="222" t="s">
        <v>418</v>
      </c>
      <c r="B24" s="222"/>
      <c r="C24" s="255" t="s">
        <v>421</v>
      </c>
      <c r="D24" s="255"/>
      <c r="E24" s="215" t="s">
        <v>419</v>
      </c>
      <c r="F24" s="215"/>
    </row>
    <row r="25" spans="1:6" ht="16.5" thickBot="1">
      <c r="A25" s="222" t="s">
        <v>414</v>
      </c>
      <c r="B25" s="222"/>
      <c r="C25" s="255" t="s">
        <v>453</v>
      </c>
      <c r="D25" s="255"/>
      <c r="E25" s="215" t="s">
        <v>420</v>
      </c>
      <c r="F25" s="215"/>
    </row>
    <row r="26" spans="1:6">
      <c r="A26" s="177" t="s">
        <v>12</v>
      </c>
      <c r="B26" s="178"/>
      <c r="C26" s="219">
        <v>301</v>
      </c>
      <c r="D26" s="219"/>
      <c r="E26" s="179" t="s">
        <v>25</v>
      </c>
      <c r="F26" s="180"/>
    </row>
    <row r="27" spans="1:6">
      <c r="A27" s="177" t="s">
        <v>40</v>
      </c>
      <c r="B27" s="178"/>
      <c r="C27" s="216" t="s">
        <v>457</v>
      </c>
      <c r="D27" s="217"/>
      <c r="E27" s="179" t="s">
        <v>30</v>
      </c>
      <c r="F27" s="180"/>
    </row>
    <row r="28" spans="1:6" ht="16.5" thickBot="1">
      <c r="A28" s="177" t="s">
        <v>41</v>
      </c>
      <c r="B28" s="178"/>
      <c r="C28" s="219">
        <v>90517548</v>
      </c>
      <c r="D28" s="219"/>
      <c r="E28" s="179" t="s">
        <v>32</v>
      </c>
      <c r="F28" s="180"/>
    </row>
    <row r="29" spans="1:6" s="110" customFormat="1" ht="16.5" thickBot="1">
      <c r="A29" s="189" t="s">
        <v>17</v>
      </c>
      <c r="B29" s="190"/>
      <c r="C29" s="190"/>
      <c r="D29" s="194" t="s">
        <v>16</v>
      </c>
      <c r="E29" s="194"/>
      <c r="F29" s="195"/>
    </row>
    <row r="30" spans="1:6">
      <c r="A30" s="196" t="s">
        <v>22</v>
      </c>
      <c r="B30" s="197"/>
      <c r="C30" s="191">
        <v>325</v>
      </c>
      <c r="D30" s="191"/>
      <c r="E30" s="175" t="s">
        <v>38</v>
      </c>
      <c r="F30" s="176"/>
    </row>
    <row r="31" spans="1:6">
      <c r="A31" s="202" t="s">
        <v>80</v>
      </c>
      <c r="B31" s="203"/>
      <c r="C31" s="256">
        <v>12</v>
      </c>
      <c r="D31" s="256"/>
      <c r="E31" s="179" t="s">
        <v>79</v>
      </c>
      <c r="F31" s="180"/>
    </row>
    <row r="32" spans="1:6">
      <c r="A32" s="177" t="s">
        <v>43</v>
      </c>
      <c r="B32" s="178"/>
      <c r="C32" s="257">
        <f>(C30*C31)*3%</f>
        <v>117</v>
      </c>
      <c r="D32" s="258"/>
      <c r="E32" s="179" t="s">
        <v>42</v>
      </c>
      <c r="F32" s="180"/>
    </row>
    <row r="33" spans="1:6">
      <c r="A33" s="177" t="s">
        <v>18</v>
      </c>
      <c r="B33" s="178"/>
      <c r="C33" s="211">
        <v>45992</v>
      </c>
      <c r="D33" s="211"/>
      <c r="E33" s="179" t="s">
        <v>20</v>
      </c>
      <c r="F33" s="180"/>
    </row>
    <row r="34" spans="1:6" ht="16.5" thickBot="1">
      <c r="A34" s="204" t="s">
        <v>19</v>
      </c>
      <c r="B34" s="205"/>
      <c r="C34" s="212">
        <v>46356</v>
      </c>
      <c r="D34" s="212"/>
      <c r="E34" s="192" t="s">
        <v>21</v>
      </c>
      <c r="F34" s="193"/>
    </row>
    <row r="35" spans="1:6" s="110" customFormat="1" ht="16.5" thickBot="1">
      <c r="A35" s="189" t="s">
        <v>78</v>
      </c>
      <c r="B35" s="190"/>
      <c r="C35" s="113"/>
      <c r="D35" s="194" t="s">
        <v>34</v>
      </c>
      <c r="E35" s="194"/>
      <c r="F35" s="195"/>
    </row>
    <row r="36" spans="1:6">
      <c r="A36" s="196" t="s">
        <v>44</v>
      </c>
      <c r="B36" s="197"/>
      <c r="C36" s="206" t="s">
        <v>73</v>
      </c>
      <c r="D36" s="206"/>
      <c r="E36" s="175" t="s">
        <v>92</v>
      </c>
      <c r="F36" s="176"/>
    </row>
    <row r="37" spans="1:6">
      <c r="A37" s="177" t="s">
        <v>46</v>
      </c>
      <c r="B37" s="178"/>
      <c r="C37" s="181" t="s">
        <v>74</v>
      </c>
      <c r="D37" s="181"/>
      <c r="E37" s="179" t="s">
        <v>91</v>
      </c>
      <c r="F37" s="180"/>
    </row>
    <row r="38" spans="1:6">
      <c r="A38" s="177" t="s">
        <v>45</v>
      </c>
      <c r="B38" s="178"/>
      <c r="C38" s="182" t="s">
        <v>458</v>
      </c>
      <c r="D38" s="182"/>
      <c r="E38" s="179" t="s">
        <v>90</v>
      </c>
      <c r="F38" s="180"/>
    </row>
    <row r="39" spans="1:6" ht="16.5" thickBot="1">
      <c r="A39" s="177" t="s">
        <v>89</v>
      </c>
      <c r="B39" s="178"/>
      <c r="C39" s="259">
        <v>325</v>
      </c>
      <c r="D39" s="259"/>
      <c r="E39" s="179" t="s">
        <v>88</v>
      </c>
      <c r="F39" s="180"/>
    </row>
    <row r="40" spans="1:6" thickBot="1">
      <c r="A40" s="253" t="s">
        <v>0</v>
      </c>
      <c r="B40" s="251"/>
      <c r="C40" s="254"/>
      <c r="D40" s="250" t="s">
        <v>36</v>
      </c>
      <c r="E40" s="251"/>
      <c r="F40" s="252"/>
    </row>
    <row r="41" spans="1:6" ht="24" customHeight="1">
      <c r="A41" s="183"/>
      <c r="B41" s="184"/>
      <c r="C41" s="184"/>
      <c r="D41" s="184"/>
      <c r="E41" s="184"/>
      <c r="F41" s="185"/>
    </row>
    <row r="42" spans="1:6" ht="30.75" customHeight="1" thickBot="1">
      <c r="A42" s="186"/>
      <c r="B42" s="187"/>
      <c r="C42" s="187"/>
      <c r="D42" s="187"/>
      <c r="E42" s="187"/>
      <c r="F42" s="188"/>
    </row>
    <row r="43" spans="1:6" s="110" customFormat="1" ht="30" customHeight="1" thickBot="1">
      <c r="A43" s="173" t="s">
        <v>47</v>
      </c>
      <c r="B43" s="174"/>
      <c r="C43" s="174"/>
      <c r="D43" s="213" t="s">
        <v>35</v>
      </c>
      <c r="E43" s="213"/>
      <c r="F43" s="214"/>
    </row>
    <row r="44" spans="1:6" ht="119.25" customHeight="1" thickBot="1">
      <c r="A44" s="12">
        <v>1</v>
      </c>
      <c r="B44" s="207" t="s">
        <v>450</v>
      </c>
      <c r="C44" s="208"/>
      <c r="D44" s="209" t="s">
        <v>449</v>
      </c>
      <c r="E44" s="210"/>
      <c r="F44" s="13">
        <v>1</v>
      </c>
    </row>
    <row r="45" spans="1:6" ht="85.5" customHeight="1" thickBot="1">
      <c r="A45" s="114">
        <v>2</v>
      </c>
      <c r="B45" s="198" t="s">
        <v>94</v>
      </c>
      <c r="C45" s="199"/>
      <c r="D45" s="200" t="s">
        <v>95</v>
      </c>
      <c r="E45" s="201"/>
      <c r="F45" s="14">
        <v>2</v>
      </c>
    </row>
  </sheetData>
  <sheetProtection formatCells="0" formatColumns="0" formatRows="0" insertColumns="0" insertRows="0" insertHyperlinks="0" deleteColumns="0" deleteRows="0" sort="0" autoFilter="0" pivotTables="0"/>
  <protectedRanges>
    <protectedRange sqref="A1:XFD15 A16:B19 E16:XFD19 E26:XFD28 A26:B28 A45:XFD1048576 A20:XFD25 A29:XFD41 A42:XFD44" name="نطاق1"/>
    <protectedRange sqref="C26:D28" name="نطاق1_3"/>
    <protectedRange sqref="C16:D19" name="نطاق1_1"/>
  </protectedRanges>
  <mergeCells count="99">
    <mergeCell ref="A16:B16"/>
    <mergeCell ref="D14:F14"/>
    <mergeCell ref="D40:F40"/>
    <mergeCell ref="A40:C40"/>
    <mergeCell ref="C28:D28"/>
    <mergeCell ref="A24:B24"/>
    <mergeCell ref="C24:D24"/>
    <mergeCell ref="C25:D25"/>
    <mergeCell ref="C31:D31"/>
    <mergeCell ref="C32:D32"/>
    <mergeCell ref="C39:D39"/>
    <mergeCell ref="A39:B39"/>
    <mergeCell ref="E15:F15"/>
    <mergeCell ref="C15:D15"/>
    <mergeCell ref="A14:C14"/>
    <mergeCell ref="A15:B15"/>
    <mergeCell ref="C13:D13"/>
    <mergeCell ref="A5:F5"/>
    <mergeCell ref="D12:F12"/>
    <mergeCell ref="E13:F13"/>
    <mergeCell ref="A12:C12"/>
    <mergeCell ref="A13:B13"/>
    <mergeCell ref="A22:C22"/>
    <mergeCell ref="A23:B23"/>
    <mergeCell ref="A26:B26"/>
    <mergeCell ref="A27:B27"/>
    <mergeCell ref="A4:F4"/>
    <mergeCell ref="D9:F9"/>
    <mergeCell ref="E10:F10"/>
    <mergeCell ref="E11:F11"/>
    <mergeCell ref="A8:F8"/>
    <mergeCell ref="A6:F6"/>
    <mergeCell ref="A7:F7"/>
    <mergeCell ref="A9:C9"/>
    <mergeCell ref="A10:B10"/>
    <mergeCell ref="A11:B11"/>
    <mergeCell ref="C10:D10"/>
    <mergeCell ref="C11:D11"/>
    <mergeCell ref="C16:D16"/>
    <mergeCell ref="C17:D17"/>
    <mergeCell ref="E16:F16"/>
    <mergeCell ref="E17:F17"/>
    <mergeCell ref="E18:F18"/>
    <mergeCell ref="C18:D18"/>
    <mergeCell ref="A17:B17"/>
    <mergeCell ref="A20:B20"/>
    <mergeCell ref="A21:B21"/>
    <mergeCell ref="A28:B28"/>
    <mergeCell ref="A29:C29"/>
    <mergeCell ref="A18:B18"/>
    <mergeCell ref="A19:B19"/>
    <mergeCell ref="A25:B25"/>
    <mergeCell ref="C21:D21"/>
    <mergeCell ref="D29:F29"/>
    <mergeCell ref="E28:F28"/>
    <mergeCell ref="D22:F22"/>
    <mergeCell ref="E20:F20"/>
    <mergeCell ref="E21:F21"/>
    <mergeCell ref="E19:F19"/>
    <mergeCell ref="E27:F27"/>
    <mergeCell ref="E24:F24"/>
    <mergeCell ref="E25:F25"/>
    <mergeCell ref="C27:D27"/>
    <mergeCell ref="C23:D23"/>
    <mergeCell ref="C26:D26"/>
    <mergeCell ref="E23:F23"/>
    <mergeCell ref="E26:F26"/>
    <mergeCell ref="B45:C45"/>
    <mergeCell ref="D45:E45"/>
    <mergeCell ref="A31:B31"/>
    <mergeCell ref="A32:B32"/>
    <mergeCell ref="A33:B33"/>
    <mergeCell ref="A34:B34"/>
    <mergeCell ref="A36:B36"/>
    <mergeCell ref="C36:D36"/>
    <mergeCell ref="E33:F33"/>
    <mergeCell ref="B44:C44"/>
    <mergeCell ref="D44:E44"/>
    <mergeCell ref="C33:D33"/>
    <mergeCell ref="C34:D34"/>
    <mergeCell ref="E39:F39"/>
    <mergeCell ref="D43:F43"/>
    <mergeCell ref="E31:F31"/>
    <mergeCell ref="E32:F32"/>
    <mergeCell ref="A35:B35"/>
    <mergeCell ref="C30:D30"/>
    <mergeCell ref="E34:F34"/>
    <mergeCell ref="D35:F35"/>
    <mergeCell ref="A30:B30"/>
    <mergeCell ref="E30:F30"/>
    <mergeCell ref="A43:C43"/>
    <mergeCell ref="E36:F36"/>
    <mergeCell ref="A38:B38"/>
    <mergeCell ref="E37:F37"/>
    <mergeCell ref="E38:F38"/>
    <mergeCell ref="C37:D37"/>
    <mergeCell ref="C38:D38"/>
    <mergeCell ref="A37:B37"/>
    <mergeCell ref="A41:F42"/>
  </mergeCells>
  <phoneticPr fontId="20" type="noConversion"/>
  <dataValidations count="2">
    <dataValidation type="list" allowBlank="1" showInputMessage="1" showErrorMessage="1" sqref="C24:D24" xr:uid="{00000000-0002-0000-0200-000000000000}">
      <formula1>"Flat,Office,Shop"</formula1>
    </dataValidation>
    <dataValidation type="list" allowBlank="1" showInputMessage="1" showErrorMessage="1" sqref="C25:D25" xr:uid="{00000000-0002-0000-0200-000001000000}">
      <formula1>"Basement-1, Basement-2,Ground Floor,First Floor,Second Floor,Third Floor,Fourth Floor,Fifth Floor,Sixth Floor,Seventh Floor,Pent House"</formula1>
    </dataValidation>
  </dataValidations>
  <printOptions horizontalCentered="1"/>
  <pageMargins left="0" right="0" top="0.51181102362204722" bottom="1.1811023622047245" header="0.31496062992125984" footer="0.31496062992125984"/>
  <pageSetup paperSize="9" scale="68" orientation="portrait" r:id="rId1"/>
  <headerFooter>
    <oddFooter>&amp;Lتوقيع المستأجر   Tenant signature&amp;C&amp;P&amp;D - &amp;P&amp;Rتوقيع المؤجر Landlord signature</oddFooter>
  </headerFooter>
  <drawing r:id="rId2"/>
  <extLst>
    <ext xmlns:x14="http://schemas.microsoft.com/office/spreadsheetml/2009/9/main" uri="{CCE6A557-97BC-4b89-ADB6-D9C93CAAB3DF}">
      <x14:dataValidations xmlns:xm="http://schemas.microsoft.com/office/excel/2006/main" count="5">
        <x14:dataValidation type="list" allowBlank="1" showInputMessage="1" showErrorMessage="1" xr:uid="{00000000-0002-0000-0200-000002000000}">
          <x14:formula1>
            <xm:f>ورقة1!$A$6:$D$6</xm:f>
          </x14:formula1>
          <xm:sqref>C37:D37</xm:sqref>
        </x14:dataValidation>
        <x14:dataValidation type="list" allowBlank="1" showInputMessage="1" showErrorMessage="1" xr:uid="{00000000-0002-0000-0200-000003000000}">
          <x14:formula1>
            <xm:f>ورقة1!$A$5:$C$5</xm:f>
          </x14:formula1>
          <xm:sqref>C36:D37</xm:sqref>
        </x14:dataValidation>
        <x14:dataValidation type="list" allowBlank="1" showInputMessage="1" showErrorMessage="1" xr:uid="{00000000-0002-0000-0200-000004000000}">
          <x14:formula1>
            <xm:f>ورقة1!$A$4:$T$4</xm:f>
          </x14:formula1>
          <xm:sqref>C23:D23</xm:sqref>
        </x14:dataValidation>
        <x14:dataValidation type="list" allowBlank="1" showInputMessage="1" showErrorMessage="1" xr:uid="{00000000-0002-0000-0200-000005000000}">
          <x14:formula1>
            <xm:f>ورقة1!$B$2:$C$2</xm:f>
          </x14:formula1>
          <xm:sqref>C10:D10</xm:sqref>
        </x14:dataValidation>
        <x14:dataValidation type="list" allowBlank="1" showInputMessage="1" showErrorMessage="1" xr:uid="{00000000-0002-0000-0200-000006000000}">
          <x14:formula1>
            <xm:f>ورقة1!$A$1:$I$1</xm:f>
          </x14:formula1>
          <xm:sqref>C13:D13</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34"/>
  <sheetViews>
    <sheetView tabSelected="1" topLeftCell="B7" zoomScale="130" zoomScaleNormal="130" zoomScaleSheetLayoutView="130" workbookViewId="0">
      <selection activeCell="C11" sqref="C11:D11"/>
    </sheetView>
  </sheetViews>
  <sheetFormatPr defaultColWidth="8.85546875" defaultRowHeight="15.75"/>
  <cols>
    <col min="1" max="1" width="15.5703125" style="9" bestFit="1" customWidth="1"/>
    <col min="2" max="2" width="28.140625" style="10" bestFit="1" customWidth="1"/>
    <col min="3" max="3" width="17.28515625" style="10" bestFit="1" customWidth="1"/>
    <col min="4" max="4" width="21.140625" style="10" bestFit="1" customWidth="1"/>
    <col min="5" max="5" width="27.42578125" style="10" bestFit="1" customWidth="1"/>
    <col min="6" max="6" width="7.85546875" style="9" bestFit="1" customWidth="1"/>
    <col min="7" max="16384" width="8.85546875" style="9"/>
  </cols>
  <sheetData>
    <row r="1" spans="1:6">
      <c r="B1" s="8"/>
      <c r="C1" s="8"/>
      <c r="D1" s="8"/>
      <c r="E1" s="8"/>
    </row>
    <row r="2" spans="1:6">
      <c r="B2" s="8"/>
      <c r="C2" s="8"/>
      <c r="D2" s="8"/>
      <c r="E2" s="8"/>
    </row>
    <row r="3" spans="1:6" ht="18.75" customHeight="1">
      <c r="B3" s="8"/>
      <c r="C3" s="8"/>
      <c r="D3" s="8"/>
      <c r="E3" s="8"/>
    </row>
    <row r="4" spans="1:6" ht="21">
      <c r="A4" s="229" t="s">
        <v>76</v>
      </c>
      <c r="B4" s="229"/>
      <c r="C4" s="229"/>
      <c r="D4" s="229"/>
      <c r="E4" s="229"/>
      <c r="F4" s="229"/>
    </row>
    <row r="5" spans="1:6" ht="21">
      <c r="A5" s="229" t="s">
        <v>388</v>
      </c>
      <c r="B5" s="229"/>
      <c r="C5" s="229"/>
      <c r="D5" s="229"/>
      <c r="E5" s="229"/>
      <c r="F5" s="229"/>
    </row>
    <row r="6" spans="1:6">
      <c r="A6" s="237" t="s">
        <v>26</v>
      </c>
      <c r="B6" s="237"/>
      <c r="C6" s="237"/>
      <c r="D6" s="237"/>
      <c r="E6" s="237"/>
      <c r="F6" s="237"/>
    </row>
    <row r="7" spans="1:6">
      <c r="A7" s="237" t="s">
        <v>1</v>
      </c>
      <c r="B7" s="237"/>
      <c r="C7" s="237"/>
      <c r="D7" s="237"/>
      <c r="E7" s="237"/>
      <c r="F7" s="237"/>
    </row>
    <row r="8" spans="1:6" ht="16.5" thickBot="1">
      <c r="A8" s="236"/>
      <c r="B8" s="236"/>
      <c r="C8" s="236"/>
      <c r="D8" s="236"/>
      <c r="E8" s="236"/>
      <c r="F8" s="236"/>
    </row>
    <row r="9" spans="1:6" s="110" customFormat="1" ht="16.5" thickBot="1">
      <c r="A9" s="238" t="s">
        <v>401</v>
      </c>
      <c r="B9" s="239"/>
      <c r="C9" s="239"/>
      <c r="D9" s="230" t="s">
        <v>400</v>
      </c>
      <c r="E9" s="230"/>
      <c r="F9" s="231"/>
    </row>
    <row r="10" spans="1:6">
      <c r="A10" s="240" t="s">
        <v>53</v>
      </c>
      <c r="B10" s="241"/>
      <c r="C10" s="241" t="s">
        <v>54</v>
      </c>
      <c r="D10" s="241"/>
      <c r="E10" s="232" t="s">
        <v>52</v>
      </c>
      <c r="F10" s="233"/>
    </row>
    <row r="11" spans="1:6" ht="16.5" thickBot="1">
      <c r="A11" s="242" t="s">
        <v>15</v>
      </c>
      <c r="B11" s="243"/>
      <c r="C11" s="244">
        <f>'01- Residential'!C11</f>
        <v>20241115892</v>
      </c>
      <c r="D11" s="244"/>
      <c r="E11" s="234" t="s">
        <v>14</v>
      </c>
      <c r="F11" s="235"/>
    </row>
    <row r="12" spans="1:6" s="111" customFormat="1" ht="16.5" thickBot="1">
      <c r="A12" s="189" t="s">
        <v>2</v>
      </c>
      <c r="B12" s="190"/>
      <c r="C12" s="190"/>
      <c r="D12" s="194" t="s">
        <v>5</v>
      </c>
      <c r="E12" s="194"/>
      <c r="F12" s="195"/>
    </row>
    <row r="13" spans="1:6" ht="16.5" thickBot="1">
      <c r="A13" s="248" t="s">
        <v>4</v>
      </c>
      <c r="B13" s="249"/>
      <c r="C13" s="245" t="str">
        <f>'01- Residential'!C13</f>
        <v xml:space="preserve">سيد فياض بن علي - Syed Fayyaz ali </v>
      </c>
      <c r="D13" s="245"/>
      <c r="E13" s="246" t="s">
        <v>3</v>
      </c>
      <c r="F13" s="247"/>
    </row>
    <row r="14" spans="1:6" s="110" customFormat="1" ht="16.5" thickBot="1">
      <c r="A14" s="189" t="s">
        <v>7</v>
      </c>
      <c r="B14" s="190"/>
      <c r="C14" s="190"/>
      <c r="D14" s="194" t="s">
        <v>6</v>
      </c>
      <c r="E14" s="194"/>
      <c r="F14" s="195"/>
    </row>
    <row r="15" spans="1:6">
      <c r="A15" s="196" t="s">
        <v>39</v>
      </c>
      <c r="B15" s="197"/>
      <c r="C15" s="260" t="str">
        <f>'01- Residential'!C15</f>
        <v>سكني  Residential</v>
      </c>
      <c r="D15" s="261"/>
      <c r="E15" s="175" t="s">
        <v>27</v>
      </c>
      <c r="F15" s="176"/>
    </row>
    <row r="16" spans="1:6">
      <c r="A16" s="177" t="s">
        <v>4</v>
      </c>
      <c r="B16" s="178"/>
      <c r="C16" s="219" t="str">
        <f>'01- Residential'!C16</f>
        <v>Ljina Sultan Sulaiman AlMahrouqi</v>
      </c>
      <c r="D16" s="219"/>
      <c r="E16" s="179" t="s">
        <v>28</v>
      </c>
      <c r="F16" s="180"/>
    </row>
    <row r="17" spans="1:6">
      <c r="A17" s="177" t="s">
        <v>9</v>
      </c>
      <c r="B17" s="178"/>
      <c r="C17" s="219">
        <f>'01- Residential'!C17</f>
        <v>5640721</v>
      </c>
      <c r="D17" s="219"/>
      <c r="E17" s="225" t="s">
        <v>8</v>
      </c>
      <c r="F17" s="226"/>
    </row>
    <row r="18" spans="1:6" ht="16.5" thickBot="1">
      <c r="A18" s="177" t="s">
        <v>87</v>
      </c>
      <c r="B18" s="178"/>
      <c r="C18" s="147"/>
      <c r="D18" s="112" t="str">
        <f>'01- Residential'!D19</f>
        <v> 91707091</v>
      </c>
      <c r="E18" s="179" t="s">
        <v>23</v>
      </c>
      <c r="F18" s="180"/>
    </row>
    <row r="19" spans="1:6" s="110" customFormat="1" ht="16.5" thickBot="1">
      <c r="A19" s="189" t="s">
        <v>10</v>
      </c>
      <c r="B19" s="190"/>
      <c r="C19" s="190"/>
      <c r="D19" s="194" t="s">
        <v>11</v>
      </c>
      <c r="E19" s="194"/>
      <c r="F19" s="195"/>
    </row>
    <row r="20" spans="1:6" ht="16.5" thickBot="1">
      <c r="A20" s="196" t="s">
        <v>13</v>
      </c>
      <c r="B20" s="197"/>
      <c r="C20" s="218" t="str">
        <f>'01- Residential'!C23</f>
        <v>MQ Plot 369, Building 5240</v>
      </c>
      <c r="D20" s="218"/>
      <c r="E20" s="175" t="s">
        <v>24</v>
      </c>
      <c r="F20" s="176"/>
    </row>
    <row r="21" spans="1:6" ht="16.5" thickBot="1">
      <c r="A21" s="222" t="s">
        <v>418</v>
      </c>
      <c r="B21" s="222"/>
      <c r="C21" s="255" t="str">
        <f>'01- Residential'!C24</f>
        <v>Flat</v>
      </c>
      <c r="D21" s="255"/>
      <c r="E21" s="215" t="s">
        <v>419</v>
      </c>
      <c r="F21" s="215"/>
    </row>
    <row r="22" spans="1:6" ht="16.5" thickBot="1">
      <c r="A22" s="177" t="s">
        <v>12</v>
      </c>
      <c r="B22" s="178"/>
      <c r="C22" s="255">
        <f>'01- Residential'!C26</f>
        <v>301</v>
      </c>
      <c r="D22" s="255"/>
      <c r="E22" s="179" t="s">
        <v>25</v>
      </c>
      <c r="F22" s="180"/>
    </row>
    <row r="23" spans="1:6" s="110" customFormat="1" ht="16.5" thickBot="1">
      <c r="A23" s="189" t="s">
        <v>17</v>
      </c>
      <c r="B23" s="190"/>
      <c r="C23" s="190"/>
      <c r="D23" s="194" t="s">
        <v>16</v>
      </c>
      <c r="E23" s="194"/>
      <c r="F23" s="195"/>
    </row>
    <row r="24" spans="1:6" ht="16.5" thickBot="1">
      <c r="A24" s="196" t="s">
        <v>22</v>
      </c>
      <c r="B24" s="197"/>
      <c r="C24" s="191">
        <f>'01- Residential'!C30</f>
        <v>325</v>
      </c>
      <c r="D24" s="191"/>
      <c r="E24" s="175" t="s">
        <v>38</v>
      </c>
      <c r="F24" s="176"/>
    </row>
    <row r="25" spans="1:6" ht="16.5" thickBot="1">
      <c r="A25" s="202" t="s">
        <v>80</v>
      </c>
      <c r="B25" s="203"/>
      <c r="C25" s="218">
        <f>'01- Residential'!C31</f>
        <v>12</v>
      </c>
      <c r="D25" s="218"/>
      <c r="E25" s="179" t="s">
        <v>79</v>
      </c>
      <c r="F25" s="180"/>
    </row>
    <row r="26" spans="1:6" ht="16.5" thickBot="1">
      <c r="A26" s="177" t="s">
        <v>43</v>
      </c>
      <c r="B26" s="178"/>
      <c r="C26" s="191">
        <f>'01- Residential'!C32</f>
        <v>117</v>
      </c>
      <c r="D26" s="191"/>
      <c r="E26" s="179" t="s">
        <v>42</v>
      </c>
      <c r="F26" s="180"/>
    </row>
    <row r="27" spans="1:6" ht="16.5" thickBot="1">
      <c r="A27" s="177" t="s">
        <v>18</v>
      </c>
      <c r="B27" s="178"/>
      <c r="C27" s="265">
        <f>'01- Residential'!C33</f>
        <v>45992</v>
      </c>
      <c r="D27" s="265"/>
      <c r="E27" s="179" t="s">
        <v>20</v>
      </c>
      <c r="F27" s="180"/>
    </row>
    <row r="28" spans="1:6" ht="16.5" thickBot="1">
      <c r="A28" s="204" t="s">
        <v>19</v>
      </c>
      <c r="B28" s="205"/>
      <c r="C28" s="265">
        <f>'01- Residential'!C34</f>
        <v>46356</v>
      </c>
      <c r="D28" s="265"/>
      <c r="E28" s="192" t="s">
        <v>21</v>
      </c>
      <c r="F28" s="193"/>
    </row>
    <row r="29" spans="1:6" thickBot="1">
      <c r="A29" s="253" t="s">
        <v>0</v>
      </c>
      <c r="B29" s="251"/>
      <c r="C29" s="254"/>
      <c r="D29" s="250" t="s">
        <v>36</v>
      </c>
      <c r="E29" s="251"/>
      <c r="F29" s="252"/>
    </row>
    <row r="30" spans="1:6" ht="24" customHeight="1">
      <c r="A30" s="262"/>
      <c r="B30" s="184"/>
      <c r="C30" s="184"/>
      <c r="D30" s="184"/>
      <c r="E30" s="184"/>
      <c r="F30" s="185"/>
    </row>
    <row r="31" spans="1:6" ht="24" customHeight="1" thickBot="1">
      <c r="A31" s="186"/>
      <c r="B31" s="187"/>
      <c r="C31" s="187"/>
      <c r="D31" s="187"/>
      <c r="E31" s="187"/>
      <c r="F31" s="188"/>
    </row>
    <row r="32" spans="1:6" s="110" customFormat="1" ht="30" customHeight="1" thickBot="1">
      <c r="A32" s="173" t="s">
        <v>47</v>
      </c>
      <c r="B32" s="174"/>
      <c r="C32" s="174"/>
      <c r="D32" s="213" t="s">
        <v>35</v>
      </c>
      <c r="E32" s="213"/>
      <c r="F32" s="214"/>
    </row>
    <row r="33" spans="1:6" ht="101.25" customHeight="1" thickBot="1">
      <c r="A33" s="12">
        <v>1</v>
      </c>
      <c r="B33" s="207" t="s">
        <v>446</v>
      </c>
      <c r="C33" s="208"/>
      <c r="D33" s="263" t="s">
        <v>445</v>
      </c>
      <c r="E33" s="264"/>
      <c r="F33" s="13">
        <v>1</v>
      </c>
    </row>
    <row r="34" spans="1:6" ht="101.25" customHeight="1">
      <c r="A34" s="12">
        <v>2</v>
      </c>
      <c r="B34" s="207" t="s">
        <v>443</v>
      </c>
      <c r="C34" s="208"/>
      <c r="D34" s="209" t="s">
        <v>444</v>
      </c>
      <c r="E34" s="210"/>
      <c r="F34" s="157">
        <v>2</v>
      </c>
    </row>
  </sheetData>
  <sheetProtection formatCells="0" formatColumns="0" formatRows="0" insertColumns="0" insertRows="0" insertHyperlinks="0" deleteColumns="0" deleteRows="0" sort="0" autoFilter="0" pivotTables="0"/>
  <protectedRanges>
    <protectedRange sqref="A1:XFD15 A35:XFD1048576 G34:XFD34 E16:XFD18 A16:B18 A19:XFD33" name="نطاق1"/>
    <protectedRange sqref="C16:D18" name="نطاق1_2"/>
    <protectedRange sqref="A34:F34" name="نطاق1_1"/>
  </protectedRanges>
  <mergeCells count="69">
    <mergeCell ref="A9:C9"/>
    <mergeCell ref="D9:F9"/>
    <mergeCell ref="A4:F4"/>
    <mergeCell ref="A5:F5"/>
    <mergeCell ref="A6:F6"/>
    <mergeCell ref="A7:F7"/>
    <mergeCell ref="A8:F8"/>
    <mergeCell ref="A14:C14"/>
    <mergeCell ref="D14:F14"/>
    <mergeCell ref="A10:B10"/>
    <mergeCell ref="C10:D10"/>
    <mergeCell ref="E10:F10"/>
    <mergeCell ref="A11:B11"/>
    <mergeCell ref="C11:D11"/>
    <mergeCell ref="E11:F11"/>
    <mergeCell ref="A12:C12"/>
    <mergeCell ref="D12:F12"/>
    <mergeCell ref="A13:B13"/>
    <mergeCell ref="C13:D13"/>
    <mergeCell ref="E13:F13"/>
    <mergeCell ref="A15:B15"/>
    <mergeCell ref="C15:D15"/>
    <mergeCell ref="E15:F15"/>
    <mergeCell ref="A16:B16"/>
    <mergeCell ref="C16:D16"/>
    <mergeCell ref="E16:F16"/>
    <mergeCell ref="A18:B18"/>
    <mergeCell ref="E18:F18"/>
    <mergeCell ref="A17:B17"/>
    <mergeCell ref="C17:D17"/>
    <mergeCell ref="E17:F17"/>
    <mergeCell ref="A22:B22"/>
    <mergeCell ref="C22:D22"/>
    <mergeCell ref="E22:F22"/>
    <mergeCell ref="A19:C19"/>
    <mergeCell ref="D19:F19"/>
    <mergeCell ref="A20:B20"/>
    <mergeCell ref="C20:D20"/>
    <mergeCell ref="E20:F20"/>
    <mergeCell ref="A21:B21"/>
    <mergeCell ref="C21:D21"/>
    <mergeCell ref="E21:F21"/>
    <mergeCell ref="A23:C23"/>
    <mergeCell ref="D23:F23"/>
    <mergeCell ref="A24:B24"/>
    <mergeCell ref="C24:D24"/>
    <mergeCell ref="E24:F24"/>
    <mergeCell ref="A25:B25"/>
    <mergeCell ref="C25:D25"/>
    <mergeCell ref="E25:F25"/>
    <mergeCell ref="A26:B26"/>
    <mergeCell ref="C26:D26"/>
    <mergeCell ref="E26:F26"/>
    <mergeCell ref="A27:B27"/>
    <mergeCell ref="C27:D27"/>
    <mergeCell ref="E27:F27"/>
    <mergeCell ref="A28:B28"/>
    <mergeCell ref="C28:D28"/>
    <mergeCell ref="E28:F28"/>
    <mergeCell ref="B34:C34"/>
    <mergeCell ref="D34:E34"/>
    <mergeCell ref="A29:C29"/>
    <mergeCell ref="D29:F29"/>
    <mergeCell ref="A30:F30"/>
    <mergeCell ref="A31:F31"/>
    <mergeCell ref="A32:C32"/>
    <mergeCell ref="D32:F32"/>
    <mergeCell ref="B33:C33"/>
    <mergeCell ref="D33:E33"/>
  </mergeCells>
  <dataValidations count="2">
    <dataValidation type="list" allowBlank="1" showInputMessage="1" showErrorMessage="1" sqref="C21:D21" xr:uid="{00000000-0002-0000-0300-000000000000}">
      <formula1>"Flat,Office,Shop"</formula1>
    </dataValidation>
    <dataValidation type="list" allowBlank="1" showInputMessage="1" showErrorMessage="1" sqref="C22:D22" xr:uid="{00000000-0002-0000-0300-000001000000}">
      <formula1>"Basement-1, Basement-2,Ground Floor,First Floor,Second Floor,Third Floor,Fourth Floor,Fifth Floor,Sixth Floor,Seventh Floor,Pent House"</formula1>
    </dataValidation>
  </dataValidations>
  <printOptions horizontalCentered="1"/>
  <pageMargins left="0" right="0" top="0.51181102362204722" bottom="1.1811023622047245" header="0.31496062992125984" footer="0.31496062992125984"/>
  <pageSetup paperSize="9" scale="78" orientation="portrait" r:id="rId1"/>
  <headerFooter>
    <oddFooter>&amp;Lتوقيع المستأجر   Tenant signature&amp;C&amp;P&amp;D - &amp;P&amp;Rتوقيع المؤجر Landlord signature</oddFooter>
  </headerFooter>
  <drawing r:id="rId2"/>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300-000002000000}">
          <x14:formula1>
            <xm:f>ورقة1!$A$1:$H$1</xm:f>
          </x14:formula1>
          <xm:sqref>C13:D13</xm:sqref>
        </x14:dataValidation>
        <x14:dataValidation type="list" allowBlank="1" showInputMessage="1" showErrorMessage="1" xr:uid="{00000000-0002-0000-0300-000003000000}">
          <x14:formula1>
            <xm:f>ورقة1!$B$2:$C$2</xm:f>
          </x14:formula1>
          <xm:sqref>C10:D10</xm:sqref>
        </x14:dataValidation>
        <x14:dataValidation type="list" allowBlank="1" showInputMessage="1" showErrorMessage="1" xr:uid="{00000000-0002-0000-0300-000004000000}">
          <x14:formula1>
            <xm:f>ورقة1!$A$4:$T$4</xm:f>
          </x14:formula1>
          <xm:sqref>C20:D20</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80"/>
  <sheetViews>
    <sheetView topLeftCell="A8" zoomScale="130" zoomScaleNormal="130" zoomScaleSheetLayoutView="115" workbookViewId="0">
      <selection activeCell="B8" sqref="B8"/>
    </sheetView>
  </sheetViews>
  <sheetFormatPr defaultColWidth="8.85546875" defaultRowHeight="15.75"/>
  <cols>
    <col min="1" max="1" width="5.42578125" style="9" customWidth="1"/>
    <col min="2" max="2" width="28.140625" style="10" bestFit="1" customWidth="1"/>
    <col min="3" max="3" width="17.28515625" style="10" bestFit="1" customWidth="1"/>
    <col min="4" max="4" width="21.140625" style="10" bestFit="1" customWidth="1"/>
    <col min="5" max="5" width="27.42578125" style="10" bestFit="1" customWidth="1"/>
    <col min="6" max="6" width="5.42578125" style="9" customWidth="1"/>
    <col min="7" max="16384" width="8.85546875" style="9"/>
  </cols>
  <sheetData>
    <row r="1" spans="1:6">
      <c r="A1" s="15"/>
      <c r="B1" s="8"/>
      <c r="C1" s="8"/>
      <c r="D1" s="8"/>
      <c r="E1" s="8"/>
      <c r="F1" s="15"/>
    </row>
    <row r="2" spans="1:6">
      <c r="A2" s="15"/>
      <c r="B2" s="8"/>
      <c r="C2" s="8"/>
      <c r="D2" s="8"/>
      <c r="E2" s="8"/>
      <c r="F2" s="15"/>
    </row>
    <row r="3" spans="1:6" ht="23.25" customHeight="1">
      <c r="A3" s="15"/>
      <c r="B3" s="8"/>
      <c r="C3" s="8"/>
      <c r="D3" s="8"/>
      <c r="E3" s="8"/>
      <c r="F3" s="15"/>
    </row>
    <row r="4" spans="1:6" ht="21" customHeight="1">
      <c r="A4" s="160" t="s">
        <v>76</v>
      </c>
      <c r="B4" s="160"/>
      <c r="C4" s="160"/>
      <c r="D4" s="160"/>
      <c r="E4" s="160"/>
      <c r="F4" s="160"/>
    </row>
    <row r="5" spans="1:6" ht="21" customHeight="1">
      <c r="A5" s="160" t="s">
        <v>388</v>
      </c>
      <c r="B5" s="160"/>
      <c r="C5" s="160"/>
      <c r="D5" s="160"/>
      <c r="E5" s="160"/>
      <c r="F5" s="160"/>
    </row>
    <row r="6" spans="1:6" ht="21" customHeight="1">
      <c r="A6" s="161" t="s">
        <v>26</v>
      </c>
      <c r="B6" s="161"/>
      <c r="C6" s="161"/>
      <c r="D6" s="161"/>
      <c r="E6" s="161"/>
      <c r="F6" s="161"/>
    </row>
    <row r="7" spans="1:6" ht="21" customHeight="1">
      <c r="A7" s="161" t="s">
        <v>1</v>
      </c>
      <c r="B7" s="161"/>
      <c r="C7" s="161"/>
      <c r="D7" s="161"/>
      <c r="E7" s="161"/>
      <c r="F7" s="161"/>
    </row>
    <row r="8" spans="1:6" ht="16.5" thickBot="1">
      <c r="A8" s="48"/>
      <c r="B8" s="48"/>
      <c r="C8" s="48"/>
      <c r="D8" s="48"/>
      <c r="E8" s="48"/>
      <c r="F8" s="48"/>
    </row>
    <row r="9" spans="1:6" ht="37.5" customHeight="1" thickBot="1">
      <c r="A9" s="274" t="s">
        <v>296</v>
      </c>
      <c r="B9" s="275"/>
      <c r="C9" s="276"/>
      <c r="D9" s="277" t="s">
        <v>297</v>
      </c>
      <c r="E9" s="277"/>
      <c r="F9" s="278"/>
    </row>
    <row r="10" spans="1:6" ht="35.1" customHeight="1" thickBot="1">
      <c r="A10" s="279" t="s">
        <v>15</v>
      </c>
      <c r="B10" s="280"/>
      <c r="C10" s="281">
        <f>'01- Residential'!C11</f>
        <v>20241115892</v>
      </c>
      <c r="D10" s="282"/>
      <c r="E10" s="283" t="s">
        <v>14</v>
      </c>
      <c r="F10" s="284"/>
    </row>
    <row r="11" spans="1:6" ht="37.5" customHeight="1" thickBot="1">
      <c r="A11" s="285" t="s">
        <v>47</v>
      </c>
      <c r="B11" s="286"/>
      <c r="C11" s="286"/>
      <c r="D11" s="287" t="s">
        <v>35</v>
      </c>
      <c r="E11" s="287"/>
      <c r="F11" s="288"/>
    </row>
    <row r="12" spans="1:6" s="115" customFormat="1" ht="30" customHeight="1" thickBot="1">
      <c r="A12" s="126">
        <v>1</v>
      </c>
      <c r="B12" s="289" t="s">
        <v>104</v>
      </c>
      <c r="C12" s="290"/>
      <c r="D12" s="289" t="s">
        <v>105</v>
      </c>
      <c r="E12" s="290"/>
      <c r="F12" s="127">
        <v>1</v>
      </c>
    </row>
    <row r="13" spans="1:6" ht="36.75" customHeight="1" thickBot="1">
      <c r="A13" s="128" t="s">
        <v>97</v>
      </c>
      <c r="B13" s="266" t="s">
        <v>106</v>
      </c>
      <c r="C13" s="267"/>
      <c r="D13" s="268" t="s">
        <v>107</v>
      </c>
      <c r="E13" s="269"/>
      <c r="F13" s="129" t="s">
        <v>86</v>
      </c>
    </row>
    <row r="14" spans="1:6" s="115" customFormat="1" ht="30" customHeight="1" thickBot="1">
      <c r="A14" s="126">
        <v>2</v>
      </c>
      <c r="B14" s="289" t="s">
        <v>108</v>
      </c>
      <c r="C14" s="290"/>
      <c r="D14" s="289" t="s">
        <v>109</v>
      </c>
      <c r="E14" s="290"/>
      <c r="F14" s="127">
        <v>2</v>
      </c>
    </row>
    <row r="15" spans="1:6" ht="35.25" customHeight="1">
      <c r="A15" s="130" t="s">
        <v>97</v>
      </c>
      <c r="B15" s="270" t="s">
        <v>110</v>
      </c>
      <c r="C15" s="271"/>
      <c r="D15" s="272" t="s">
        <v>111</v>
      </c>
      <c r="E15" s="273"/>
      <c r="F15" s="131" t="s">
        <v>86</v>
      </c>
    </row>
    <row r="16" spans="1:6" ht="58.5" customHeight="1" thickBot="1">
      <c r="A16" s="130" t="s">
        <v>98</v>
      </c>
      <c r="B16" s="291" t="s">
        <v>112</v>
      </c>
      <c r="C16" s="292"/>
      <c r="D16" s="293" t="s">
        <v>113</v>
      </c>
      <c r="E16" s="294"/>
      <c r="F16" s="133" t="s">
        <v>99</v>
      </c>
    </row>
    <row r="17" spans="1:6" s="115" customFormat="1" ht="30" customHeight="1" thickBot="1">
      <c r="A17" s="126">
        <v>3</v>
      </c>
      <c r="B17" s="289" t="s">
        <v>114</v>
      </c>
      <c r="C17" s="290"/>
      <c r="D17" s="289" t="s">
        <v>115</v>
      </c>
      <c r="E17" s="290"/>
      <c r="F17" s="127">
        <v>3</v>
      </c>
    </row>
    <row r="18" spans="1:6" ht="39.950000000000003" customHeight="1">
      <c r="A18" s="128" t="s">
        <v>97</v>
      </c>
      <c r="B18" s="266" t="s">
        <v>116</v>
      </c>
      <c r="C18" s="267"/>
      <c r="D18" s="268" t="s">
        <v>117</v>
      </c>
      <c r="E18" s="269"/>
      <c r="F18" s="129" t="s">
        <v>86</v>
      </c>
    </row>
    <row r="19" spans="1:6" ht="46.5" customHeight="1">
      <c r="A19" s="130" t="s">
        <v>98</v>
      </c>
      <c r="B19" s="270" t="s">
        <v>118</v>
      </c>
      <c r="C19" s="271"/>
      <c r="D19" s="272" t="s">
        <v>119</v>
      </c>
      <c r="E19" s="273"/>
      <c r="F19" s="131" t="s">
        <v>99</v>
      </c>
    </row>
    <row r="20" spans="1:6" ht="39.950000000000003" customHeight="1" thickBot="1">
      <c r="A20" s="128" t="s">
        <v>100</v>
      </c>
      <c r="B20" s="270" t="s">
        <v>121</v>
      </c>
      <c r="C20" s="271"/>
      <c r="D20" s="272" t="s">
        <v>122</v>
      </c>
      <c r="E20" s="273"/>
      <c r="F20" s="131" t="s">
        <v>101</v>
      </c>
    </row>
    <row r="21" spans="1:6" s="115" customFormat="1" ht="30" customHeight="1" thickBot="1">
      <c r="A21" s="126">
        <v>4</v>
      </c>
      <c r="B21" s="289" t="s">
        <v>128</v>
      </c>
      <c r="C21" s="290"/>
      <c r="D21" s="289" t="s">
        <v>129</v>
      </c>
      <c r="E21" s="290"/>
      <c r="F21" s="127">
        <v>4</v>
      </c>
    </row>
    <row r="22" spans="1:6" ht="30" customHeight="1">
      <c r="A22" s="128" t="s">
        <v>97</v>
      </c>
      <c r="B22" s="266" t="s">
        <v>130</v>
      </c>
      <c r="C22" s="267"/>
      <c r="D22" s="268" t="s">
        <v>131</v>
      </c>
      <c r="E22" s="269"/>
      <c r="F22" s="129" t="s">
        <v>86</v>
      </c>
    </row>
    <row r="23" spans="1:6" ht="31.5" customHeight="1">
      <c r="A23" s="130" t="s">
        <v>98</v>
      </c>
      <c r="B23" s="270" t="s">
        <v>132</v>
      </c>
      <c r="C23" s="271"/>
      <c r="D23" s="272" t="s">
        <v>133</v>
      </c>
      <c r="E23" s="273"/>
      <c r="F23" s="131" t="s">
        <v>99</v>
      </c>
    </row>
    <row r="24" spans="1:6" ht="52.5" customHeight="1">
      <c r="A24" s="130" t="s">
        <v>100</v>
      </c>
      <c r="B24" s="270" t="s">
        <v>134</v>
      </c>
      <c r="C24" s="271"/>
      <c r="D24" s="272" t="s">
        <v>135</v>
      </c>
      <c r="E24" s="273"/>
      <c r="F24" s="131" t="s">
        <v>101</v>
      </c>
    </row>
    <row r="25" spans="1:6" ht="70.5" customHeight="1">
      <c r="A25" s="130" t="s">
        <v>102</v>
      </c>
      <c r="B25" s="270" t="s">
        <v>136</v>
      </c>
      <c r="C25" s="271"/>
      <c r="D25" s="272" t="s">
        <v>137</v>
      </c>
      <c r="E25" s="273"/>
      <c r="F25" s="131" t="s">
        <v>103</v>
      </c>
    </row>
    <row r="26" spans="1:6" ht="63.75" customHeight="1">
      <c r="A26" s="130" t="s">
        <v>120</v>
      </c>
      <c r="B26" s="270" t="s">
        <v>138</v>
      </c>
      <c r="C26" s="271"/>
      <c r="D26" s="272" t="s">
        <v>139</v>
      </c>
      <c r="E26" s="273"/>
      <c r="F26" s="131" t="s">
        <v>123</v>
      </c>
    </row>
    <row r="27" spans="1:6" ht="45" customHeight="1" thickBot="1">
      <c r="A27" s="132" t="s">
        <v>124</v>
      </c>
      <c r="B27" s="291" t="s">
        <v>140</v>
      </c>
      <c r="C27" s="292"/>
      <c r="D27" s="293" t="s">
        <v>141</v>
      </c>
      <c r="E27" s="294"/>
      <c r="F27" s="133" t="s">
        <v>125</v>
      </c>
    </row>
    <row r="28" spans="1:6" s="115" customFormat="1" ht="30" customHeight="1" thickBot="1">
      <c r="A28" s="126">
        <v>5</v>
      </c>
      <c r="B28" s="289" t="s">
        <v>142</v>
      </c>
      <c r="C28" s="290"/>
      <c r="D28" s="289" t="s">
        <v>143</v>
      </c>
      <c r="E28" s="290"/>
      <c r="F28" s="127">
        <v>5</v>
      </c>
    </row>
    <row r="29" spans="1:6" ht="45" customHeight="1">
      <c r="A29" s="128" t="s">
        <v>97</v>
      </c>
      <c r="B29" s="266" t="s">
        <v>144</v>
      </c>
      <c r="C29" s="267"/>
      <c r="D29" s="268" t="s">
        <v>145</v>
      </c>
      <c r="E29" s="269"/>
      <c r="F29" s="129" t="s">
        <v>86</v>
      </c>
    </row>
    <row r="30" spans="1:6" ht="54.75" customHeight="1">
      <c r="A30" s="130" t="s">
        <v>98</v>
      </c>
      <c r="B30" s="270" t="s">
        <v>146</v>
      </c>
      <c r="C30" s="271"/>
      <c r="D30" s="272" t="s">
        <v>147</v>
      </c>
      <c r="E30" s="273"/>
      <c r="F30" s="131" t="s">
        <v>99</v>
      </c>
    </row>
    <row r="31" spans="1:6" ht="39.950000000000003" customHeight="1" thickBot="1">
      <c r="A31" s="130" t="s">
        <v>100</v>
      </c>
      <c r="B31" s="270" t="s">
        <v>148</v>
      </c>
      <c r="C31" s="271"/>
      <c r="D31" s="272" t="s">
        <v>149</v>
      </c>
      <c r="E31" s="273"/>
      <c r="F31" s="131" t="s">
        <v>101</v>
      </c>
    </row>
    <row r="32" spans="1:6" s="115" customFormat="1" ht="30" customHeight="1" thickBot="1">
      <c r="A32" s="126">
        <v>6</v>
      </c>
      <c r="B32" s="289" t="s">
        <v>150</v>
      </c>
      <c r="C32" s="290"/>
      <c r="D32" s="289" t="s">
        <v>151</v>
      </c>
      <c r="E32" s="290"/>
      <c r="F32" s="127">
        <v>6</v>
      </c>
    </row>
    <row r="33" spans="1:6" ht="32.25" customHeight="1">
      <c r="A33" s="128" t="s">
        <v>97</v>
      </c>
      <c r="B33" s="266" t="s">
        <v>152</v>
      </c>
      <c r="C33" s="267"/>
      <c r="D33" s="268" t="s">
        <v>153</v>
      </c>
      <c r="E33" s="269"/>
      <c r="F33" s="129" t="s">
        <v>86</v>
      </c>
    </row>
    <row r="34" spans="1:6" ht="96" customHeight="1">
      <c r="A34" s="130" t="s">
        <v>98</v>
      </c>
      <c r="B34" s="270" t="s">
        <v>154</v>
      </c>
      <c r="C34" s="271"/>
      <c r="D34" s="272" t="s">
        <v>155</v>
      </c>
      <c r="E34" s="273"/>
      <c r="F34" s="131" t="s">
        <v>99</v>
      </c>
    </row>
    <row r="35" spans="1:6" ht="42" customHeight="1" thickBot="1">
      <c r="A35" s="132" t="s">
        <v>100</v>
      </c>
      <c r="B35" s="291" t="s">
        <v>156</v>
      </c>
      <c r="C35" s="292"/>
      <c r="D35" s="293" t="s">
        <v>157</v>
      </c>
      <c r="E35" s="294"/>
      <c r="F35" s="133" t="s">
        <v>101</v>
      </c>
    </row>
    <row r="36" spans="1:6" s="115" customFormat="1" ht="30" customHeight="1" thickBot="1">
      <c r="A36" s="126">
        <v>7</v>
      </c>
      <c r="B36" s="289" t="s">
        <v>158</v>
      </c>
      <c r="C36" s="290"/>
      <c r="D36" s="289" t="s">
        <v>159</v>
      </c>
      <c r="E36" s="290"/>
      <c r="F36" s="127">
        <v>7</v>
      </c>
    </row>
    <row r="37" spans="1:6" ht="42.75" customHeight="1">
      <c r="A37" s="130" t="s">
        <v>97</v>
      </c>
      <c r="B37" s="270" t="s">
        <v>160</v>
      </c>
      <c r="C37" s="271"/>
      <c r="D37" s="272" t="s">
        <v>161</v>
      </c>
      <c r="E37" s="273"/>
      <c r="F37" s="131" t="s">
        <v>86</v>
      </c>
    </row>
    <row r="38" spans="1:6" ht="22.5" customHeight="1">
      <c r="A38" s="130" t="s">
        <v>98</v>
      </c>
      <c r="B38" s="270" t="s">
        <v>162</v>
      </c>
      <c r="C38" s="271"/>
      <c r="D38" s="272" t="s">
        <v>163</v>
      </c>
      <c r="E38" s="273"/>
      <c r="F38" s="131" t="s">
        <v>99</v>
      </c>
    </row>
    <row r="39" spans="1:6" ht="36.75" customHeight="1">
      <c r="A39" s="130" t="s">
        <v>100</v>
      </c>
      <c r="B39" s="270" t="s">
        <v>288</v>
      </c>
      <c r="C39" s="271"/>
      <c r="D39" s="272" t="s">
        <v>289</v>
      </c>
      <c r="E39" s="273"/>
      <c r="F39" s="131" t="s">
        <v>101</v>
      </c>
    </row>
    <row r="40" spans="1:6" ht="57.75" customHeight="1">
      <c r="A40" s="130" t="s">
        <v>102</v>
      </c>
      <c r="B40" s="270" t="s">
        <v>290</v>
      </c>
      <c r="C40" s="271"/>
      <c r="D40" s="272" t="s">
        <v>291</v>
      </c>
      <c r="E40" s="273"/>
      <c r="F40" s="131" t="s">
        <v>103</v>
      </c>
    </row>
    <row r="41" spans="1:6" ht="66" customHeight="1">
      <c r="A41" s="130" t="s">
        <v>120</v>
      </c>
      <c r="B41" s="270" t="s">
        <v>165</v>
      </c>
      <c r="C41" s="271"/>
      <c r="D41" s="272" t="s">
        <v>166</v>
      </c>
      <c r="E41" s="273"/>
      <c r="F41" s="131" t="s">
        <v>123</v>
      </c>
    </row>
    <row r="42" spans="1:6" ht="53.1" customHeight="1">
      <c r="A42" s="130" t="s">
        <v>124</v>
      </c>
      <c r="B42" s="270" t="s">
        <v>174</v>
      </c>
      <c r="C42" s="271"/>
      <c r="D42" s="272" t="s">
        <v>175</v>
      </c>
      <c r="E42" s="273"/>
      <c r="F42" s="131" t="s">
        <v>125</v>
      </c>
    </row>
    <row r="43" spans="1:6" ht="53.1" customHeight="1">
      <c r="A43" s="130" t="s">
        <v>126</v>
      </c>
      <c r="B43" s="270" t="s">
        <v>176</v>
      </c>
      <c r="C43" s="271"/>
      <c r="D43" s="272" t="s">
        <v>177</v>
      </c>
      <c r="E43" s="273"/>
      <c r="F43" s="131" t="s">
        <v>127</v>
      </c>
    </row>
    <row r="44" spans="1:6" ht="79.5" customHeight="1">
      <c r="A44" s="130" t="s">
        <v>164</v>
      </c>
      <c r="B44" s="270" t="s">
        <v>178</v>
      </c>
      <c r="C44" s="271"/>
      <c r="D44" s="272" t="s">
        <v>179</v>
      </c>
      <c r="E44" s="273"/>
      <c r="F44" s="131" t="s">
        <v>167</v>
      </c>
    </row>
    <row r="45" spans="1:6" ht="47.25" customHeight="1">
      <c r="A45" s="130" t="s">
        <v>168</v>
      </c>
      <c r="B45" s="270" t="s">
        <v>180</v>
      </c>
      <c r="C45" s="271"/>
      <c r="D45" s="272" t="s">
        <v>292</v>
      </c>
      <c r="E45" s="273"/>
      <c r="F45" s="131" t="s">
        <v>169</v>
      </c>
    </row>
    <row r="46" spans="1:6" ht="81" customHeight="1">
      <c r="A46" s="130" t="s">
        <v>170</v>
      </c>
      <c r="B46" s="270" t="s">
        <v>181</v>
      </c>
      <c r="C46" s="271"/>
      <c r="D46" s="272" t="s">
        <v>293</v>
      </c>
      <c r="E46" s="273"/>
      <c r="F46" s="131" t="s">
        <v>171</v>
      </c>
    </row>
    <row r="47" spans="1:6" ht="51" customHeight="1" thickBot="1">
      <c r="A47" s="132" t="s">
        <v>172</v>
      </c>
      <c r="B47" s="291" t="s">
        <v>182</v>
      </c>
      <c r="C47" s="292"/>
      <c r="D47" s="293" t="s">
        <v>183</v>
      </c>
      <c r="E47" s="294"/>
      <c r="F47" s="133" t="s">
        <v>173</v>
      </c>
    </row>
    <row r="48" spans="1:6" s="115" customFormat="1" ht="30" customHeight="1" thickBot="1">
      <c r="A48" s="126">
        <v>8</v>
      </c>
      <c r="B48" s="289" t="s">
        <v>184</v>
      </c>
      <c r="C48" s="290"/>
      <c r="D48" s="289" t="s">
        <v>185</v>
      </c>
      <c r="E48" s="290"/>
      <c r="F48" s="127">
        <v>8</v>
      </c>
    </row>
    <row r="49" spans="1:6" ht="55.5" customHeight="1">
      <c r="A49" s="128" t="s">
        <v>97</v>
      </c>
      <c r="B49" s="266" t="s">
        <v>186</v>
      </c>
      <c r="C49" s="267"/>
      <c r="D49" s="268" t="s">
        <v>187</v>
      </c>
      <c r="E49" s="269"/>
      <c r="F49" s="129" t="s">
        <v>86</v>
      </c>
    </row>
    <row r="50" spans="1:6" ht="51" customHeight="1">
      <c r="A50" s="130" t="s">
        <v>98</v>
      </c>
      <c r="B50" s="270" t="s">
        <v>188</v>
      </c>
      <c r="C50" s="271"/>
      <c r="D50" s="272" t="s">
        <v>189</v>
      </c>
      <c r="E50" s="273"/>
      <c r="F50" s="131" t="s">
        <v>99</v>
      </c>
    </row>
    <row r="51" spans="1:6" ht="75" customHeight="1">
      <c r="A51" s="130" t="s">
        <v>100</v>
      </c>
      <c r="B51" s="270" t="s">
        <v>190</v>
      </c>
      <c r="C51" s="271"/>
      <c r="D51" s="272" t="s">
        <v>191</v>
      </c>
      <c r="E51" s="273"/>
      <c r="F51" s="131" t="s">
        <v>101</v>
      </c>
    </row>
    <row r="52" spans="1:6" ht="62.25" customHeight="1" thickBot="1">
      <c r="A52" s="132" t="s">
        <v>102</v>
      </c>
      <c r="B52" s="291" t="s">
        <v>192</v>
      </c>
      <c r="C52" s="292"/>
      <c r="D52" s="293" t="s">
        <v>193</v>
      </c>
      <c r="E52" s="294"/>
      <c r="F52" s="133" t="s">
        <v>103</v>
      </c>
    </row>
    <row r="53" spans="1:6" ht="33.75" customHeight="1" thickBot="1">
      <c r="A53" s="126">
        <v>9</v>
      </c>
      <c r="B53" s="295" t="s">
        <v>194</v>
      </c>
      <c r="C53" s="296"/>
      <c r="D53" s="297" t="s">
        <v>195</v>
      </c>
      <c r="E53" s="298"/>
      <c r="F53" s="127">
        <v>9</v>
      </c>
    </row>
    <row r="54" spans="1:6" ht="48.75" customHeight="1" thickBot="1">
      <c r="A54" s="134" t="s">
        <v>97</v>
      </c>
      <c r="B54" s="299" t="s">
        <v>196</v>
      </c>
      <c r="C54" s="300"/>
      <c r="D54" s="301" t="s">
        <v>294</v>
      </c>
      <c r="E54" s="302"/>
      <c r="F54" s="135" t="s">
        <v>86</v>
      </c>
    </row>
    <row r="55" spans="1:6" s="115" customFormat="1" ht="30" customHeight="1" thickBot="1">
      <c r="A55" s="126">
        <v>10</v>
      </c>
      <c r="B55" s="289" t="s">
        <v>197</v>
      </c>
      <c r="C55" s="290"/>
      <c r="D55" s="289" t="s">
        <v>198</v>
      </c>
      <c r="E55" s="290"/>
      <c r="F55" s="127">
        <v>10</v>
      </c>
    </row>
    <row r="56" spans="1:6" ht="39.950000000000003" customHeight="1" thickBot="1">
      <c r="A56" s="134" t="s">
        <v>97</v>
      </c>
      <c r="B56" s="299" t="s">
        <v>199</v>
      </c>
      <c r="C56" s="300"/>
      <c r="D56" s="301" t="s">
        <v>200</v>
      </c>
      <c r="E56" s="302"/>
      <c r="F56" s="135" t="s">
        <v>86</v>
      </c>
    </row>
    <row r="57" spans="1:6" s="115" customFormat="1" ht="30" customHeight="1" thickBot="1">
      <c r="A57" s="126">
        <v>11</v>
      </c>
      <c r="B57" s="289" t="s">
        <v>201</v>
      </c>
      <c r="C57" s="290"/>
      <c r="D57" s="289" t="s">
        <v>202</v>
      </c>
      <c r="E57" s="290"/>
      <c r="F57" s="127">
        <v>11</v>
      </c>
    </row>
    <row r="58" spans="1:6" ht="53.1" customHeight="1" thickBot="1">
      <c r="A58" s="128" t="s">
        <v>97</v>
      </c>
      <c r="B58" s="266" t="s">
        <v>203</v>
      </c>
      <c r="C58" s="267"/>
      <c r="D58" s="268" t="s">
        <v>204</v>
      </c>
      <c r="E58" s="269"/>
      <c r="F58" s="129" t="s">
        <v>86</v>
      </c>
    </row>
    <row r="59" spans="1:6" s="115" customFormat="1" ht="30" customHeight="1" thickBot="1">
      <c r="A59" s="126">
        <v>12</v>
      </c>
      <c r="B59" s="289" t="s">
        <v>205</v>
      </c>
      <c r="C59" s="290"/>
      <c r="D59" s="289" t="s">
        <v>206</v>
      </c>
      <c r="E59" s="290"/>
      <c r="F59" s="127">
        <v>12</v>
      </c>
    </row>
    <row r="60" spans="1:6" ht="53.1" customHeight="1" thickBot="1">
      <c r="A60" s="134" t="s">
        <v>97</v>
      </c>
      <c r="B60" s="299" t="s">
        <v>207</v>
      </c>
      <c r="C60" s="300"/>
      <c r="D60" s="301" t="s">
        <v>208</v>
      </c>
      <c r="E60" s="302"/>
      <c r="F60" s="135" t="s">
        <v>86</v>
      </c>
    </row>
    <row r="61" spans="1:6" s="115" customFormat="1" ht="30" customHeight="1" thickBot="1">
      <c r="A61" s="126">
        <v>13</v>
      </c>
      <c r="B61" s="289" t="s">
        <v>209</v>
      </c>
      <c r="C61" s="290"/>
      <c r="D61" s="289" t="s">
        <v>210</v>
      </c>
      <c r="E61" s="290"/>
      <c r="F61" s="127">
        <v>13</v>
      </c>
    </row>
    <row r="62" spans="1:6" ht="39.950000000000003" customHeight="1">
      <c r="A62" s="128" t="s">
        <v>97</v>
      </c>
      <c r="B62" s="266" t="s">
        <v>211</v>
      </c>
      <c r="C62" s="267"/>
      <c r="D62" s="268" t="s">
        <v>212</v>
      </c>
      <c r="E62" s="269"/>
      <c r="F62" s="129" t="s">
        <v>86</v>
      </c>
    </row>
    <row r="63" spans="1:6" ht="69.95" customHeight="1">
      <c r="A63" s="130" t="s">
        <v>98</v>
      </c>
      <c r="B63" s="270" t="s">
        <v>213</v>
      </c>
      <c r="C63" s="271"/>
      <c r="D63" s="272" t="s">
        <v>214</v>
      </c>
      <c r="E63" s="273"/>
      <c r="F63" s="131" t="s">
        <v>99</v>
      </c>
    </row>
    <row r="64" spans="1:6" ht="53.1" customHeight="1" thickBot="1">
      <c r="A64" s="132" t="s">
        <v>100</v>
      </c>
      <c r="B64" s="291" t="s">
        <v>215</v>
      </c>
      <c r="C64" s="292"/>
      <c r="D64" s="293" t="s">
        <v>216</v>
      </c>
      <c r="E64" s="294"/>
      <c r="F64" s="133" t="s">
        <v>101</v>
      </c>
    </row>
    <row r="65" spans="1:6" s="115" customFormat="1" ht="30" customHeight="1" thickBot="1">
      <c r="A65" s="126">
        <v>14</v>
      </c>
      <c r="B65" s="289" t="s">
        <v>217</v>
      </c>
      <c r="C65" s="290"/>
      <c r="D65" s="289" t="s">
        <v>218</v>
      </c>
      <c r="E65" s="290"/>
      <c r="F65" s="127">
        <v>14</v>
      </c>
    </row>
    <row r="66" spans="1:6" ht="39.950000000000003" customHeight="1">
      <c r="A66" s="128" t="s">
        <v>97</v>
      </c>
      <c r="B66" s="266" t="s">
        <v>219</v>
      </c>
      <c r="C66" s="267"/>
      <c r="D66" s="268" t="s">
        <v>220</v>
      </c>
      <c r="E66" s="269"/>
      <c r="F66" s="129" t="s">
        <v>86</v>
      </c>
    </row>
    <row r="67" spans="1:6" ht="53.1" customHeight="1">
      <c r="A67" s="130" t="s">
        <v>98</v>
      </c>
      <c r="B67" s="270" t="s">
        <v>221</v>
      </c>
      <c r="C67" s="271"/>
      <c r="D67" s="272" t="s">
        <v>222</v>
      </c>
      <c r="E67" s="273"/>
      <c r="F67" s="131" t="s">
        <v>99</v>
      </c>
    </row>
    <row r="68" spans="1:6" ht="53.1" customHeight="1">
      <c r="A68" s="130" t="s">
        <v>100</v>
      </c>
      <c r="B68" s="270" t="s">
        <v>223</v>
      </c>
      <c r="C68" s="271"/>
      <c r="D68" s="272" t="s">
        <v>224</v>
      </c>
      <c r="E68" s="273"/>
      <c r="F68" s="131" t="s">
        <v>101</v>
      </c>
    </row>
    <row r="69" spans="1:6" ht="69.95" customHeight="1">
      <c r="A69" s="130" t="s">
        <v>102</v>
      </c>
      <c r="B69" s="270" t="s">
        <v>225</v>
      </c>
      <c r="C69" s="271"/>
      <c r="D69" s="272" t="s">
        <v>226</v>
      </c>
      <c r="E69" s="273"/>
      <c r="F69" s="131" t="s">
        <v>103</v>
      </c>
    </row>
    <row r="70" spans="1:6" ht="39" customHeight="1">
      <c r="A70" s="130" t="s">
        <v>120</v>
      </c>
      <c r="B70" s="270" t="s">
        <v>227</v>
      </c>
      <c r="C70" s="271"/>
      <c r="D70" s="272" t="s">
        <v>295</v>
      </c>
      <c r="E70" s="273"/>
      <c r="F70" s="131" t="s">
        <v>123</v>
      </c>
    </row>
    <row r="71" spans="1:6" s="115" customFormat="1" ht="30" customHeight="1">
      <c r="A71" s="136">
        <v>15</v>
      </c>
      <c r="B71" s="303" t="s">
        <v>228</v>
      </c>
      <c r="C71" s="304"/>
      <c r="D71" s="303" t="s">
        <v>229</v>
      </c>
      <c r="E71" s="304"/>
      <c r="F71" s="137">
        <v>15</v>
      </c>
    </row>
    <row r="72" spans="1:6" ht="90" customHeight="1">
      <c r="A72" s="130" t="s">
        <v>97</v>
      </c>
      <c r="B72" s="270" t="s">
        <v>230</v>
      </c>
      <c r="C72" s="271"/>
      <c r="D72" s="272" t="s">
        <v>231</v>
      </c>
      <c r="E72" s="273"/>
      <c r="F72" s="131" t="s">
        <v>86</v>
      </c>
    </row>
    <row r="73" spans="1:6" ht="53.1" customHeight="1">
      <c r="A73" s="130" t="s">
        <v>98</v>
      </c>
      <c r="B73" s="270" t="s">
        <v>232</v>
      </c>
      <c r="C73" s="271"/>
      <c r="D73" s="272" t="s">
        <v>233</v>
      </c>
      <c r="E73" s="273"/>
      <c r="F73" s="131" t="s">
        <v>99</v>
      </c>
    </row>
    <row r="74" spans="1:6" ht="39.950000000000003" customHeight="1">
      <c r="A74" s="130" t="s">
        <v>100</v>
      </c>
      <c r="B74" s="270" t="s">
        <v>234</v>
      </c>
      <c r="C74" s="271"/>
      <c r="D74" s="272" t="s">
        <v>235</v>
      </c>
      <c r="E74" s="273"/>
      <c r="F74" s="131" t="s">
        <v>101</v>
      </c>
    </row>
    <row r="75" spans="1:6" ht="39.950000000000003" customHeight="1">
      <c r="A75" s="130" t="s">
        <v>102</v>
      </c>
      <c r="B75" s="270" t="s">
        <v>236</v>
      </c>
      <c r="C75" s="271"/>
      <c r="D75" s="272" t="s">
        <v>237</v>
      </c>
      <c r="E75" s="273"/>
      <c r="F75" s="131" t="s">
        <v>103</v>
      </c>
    </row>
    <row r="76" spans="1:6" ht="58.5" customHeight="1" thickBot="1">
      <c r="A76" s="132" t="s">
        <v>120</v>
      </c>
      <c r="B76" s="291" t="s">
        <v>238</v>
      </c>
      <c r="C76" s="292"/>
      <c r="D76" s="293" t="s">
        <v>239</v>
      </c>
      <c r="E76" s="294"/>
      <c r="F76" s="133" t="s">
        <v>123</v>
      </c>
    </row>
    <row r="77" spans="1:6" s="115" customFormat="1" ht="30" customHeight="1" thickBot="1">
      <c r="A77" s="126">
        <v>16</v>
      </c>
      <c r="B77" s="289" t="s">
        <v>240</v>
      </c>
      <c r="C77" s="290"/>
      <c r="D77" s="289" t="s">
        <v>241</v>
      </c>
      <c r="E77" s="290"/>
      <c r="F77" s="127">
        <v>16</v>
      </c>
    </row>
    <row r="78" spans="1:6" ht="39.950000000000003" customHeight="1" thickBot="1">
      <c r="A78" s="134" t="s">
        <v>97</v>
      </c>
      <c r="B78" s="299" t="s">
        <v>242</v>
      </c>
      <c r="C78" s="300"/>
      <c r="D78" s="301" t="s">
        <v>243</v>
      </c>
      <c r="E78" s="302"/>
      <c r="F78" s="135" t="s">
        <v>86</v>
      </c>
    </row>
    <row r="79" spans="1:6" s="115" customFormat="1" ht="30" customHeight="1" thickBot="1">
      <c r="A79" s="126">
        <v>17</v>
      </c>
      <c r="B79" s="289" t="s">
        <v>244</v>
      </c>
      <c r="C79" s="290"/>
      <c r="D79" s="289" t="s">
        <v>245</v>
      </c>
      <c r="E79" s="290"/>
      <c r="F79" s="127">
        <v>17</v>
      </c>
    </row>
    <row r="80" spans="1:6" ht="42.75" customHeight="1">
      <c r="A80" s="128" t="s">
        <v>97</v>
      </c>
      <c r="B80" s="266" t="s">
        <v>246</v>
      </c>
      <c r="C80" s="267"/>
      <c r="D80" s="268" t="s">
        <v>247</v>
      </c>
      <c r="E80" s="269"/>
      <c r="F80" s="129" t="s">
        <v>86</v>
      </c>
    </row>
  </sheetData>
  <sheetProtection sheet="1" formatCells="0" formatColumns="0" formatRows="0" insertColumns="0" insertRows="0" insertHyperlinks="0" deleteColumns="0" deleteRows="0" sort="0" autoFilter="0" pivotTables="0"/>
  <mergeCells count="149">
    <mergeCell ref="B80:C80"/>
    <mergeCell ref="D80:E80"/>
    <mergeCell ref="B77:C77"/>
    <mergeCell ref="D77:E77"/>
    <mergeCell ref="B78:C78"/>
    <mergeCell ref="D78:E78"/>
    <mergeCell ref="B79:C79"/>
    <mergeCell ref="D79:E79"/>
    <mergeCell ref="B74:C74"/>
    <mergeCell ref="D74:E74"/>
    <mergeCell ref="B75:C75"/>
    <mergeCell ref="D75:E75"/>
    <mergeCell ref="B76:C76"/>
    <mergeCell ref="D76:E76"/>
    <mergeCell ref="B72:C72"/>
    <mergeCell ref="D72:E72"/>
    <mergeCell ref="B73:C73"/>
    <mergeCell ref="D73:E73"/>
    <mergeCell ref="B70:C70"/>
    <mergeCell ref="D70:E70"/>
    <mergeCell ref="B71:C71"/>
    <mergeCell ref="D71:E71"/>
    <mergeCell ref="B67:C67"/>
    <mergeCell ref="D67:E67"/>
    <mergeCell ref="B68:C68"/>
    <mergeCell ref="D68:E68"/>
    <mergeCell ref="B69:C69"/>
    <mergeCell ref="D69:E69"/>
    <mergeCell ref="B65:C65"/>
    <mergeCell ref="D65:E65"/>
    <mergeCell ref="B66:C66"/>
    <mergeCell ref="D66:E66"/>
    <mergeCell ref="B61:C61"/>
    <mergeCell ref="D61:E61"/>
    <mergeCell ref="B62:C62"/>
    <mergeCell ref="D62:E62"/>
    <mergeCell ref="B63:C63"/>
    <mergeCell ref="D63:E63"/>
    <mergeCell ref="B59:C59"/>
    <mergeCell ref="D59:E59"/>
    <mergeCell ref="B60:C60"/>
    <mergeCell ref="D60:E60"/>
    <mergeCell ref="B57:C57"/>
    <mergeCell ref="D57:E57"/>
    <mergeCell ref="B58:C58"/>
    <mergeCell ref="D58:E58"/>
    <mergeCell ref="B64:C64"/>
    <mergeCell ref="D64:E64"/>
    <mergeCell ref="B37:C37"/>
    <mergeCell ref="D37:E37"/>
    <mergeCell ref="D51:E51"/>
    <mergeCell ref="B52:C52"/>
    <mergeCell ref="D52:E52"/>
    <mergeCell ref="B53:C53"/>
    <mergeCell ref="D53:E53"/>
    <mergeCell ref="B51:C51"/>
    <mergeCell ref="B56:C56"/>
    <mergeCell ref="D56:E56"/>
    <mergeCell ref="B47:C47"/>
    <mergeCell ref="D47:E47"/>
    <mergeCell ref="B48:C48"/>
    <mergeCell ref="D48:E48"/>
    <mergeCell ref="B49:C49"/>
    <mergeCell ref="D49:E49"/>
    <mergeCell ref="B55:C55"/>
    <mergeCell ref="D55:E55"/>
    <mergeCell ref="B54:C54"/>
    <mergeCell ref="D54:E54"/>
    <mergeCell ref="B41:C41"/>
    <mergeCell ref="D41:E41"/>
    <mergeCell ref="B42:C42"/>
    <mergeCell ref="D42:E42"/>
    <mergeCell ref="B23:C23"/>
    <mergeCell ref="D23:E23"/>
    <mergeCell ref="B18:C18"/>
    <mergeCell ref="D18:E18"/>
    <mergeCell ref="B12:C12"/>
    <mergeCell ref="D12:E12"/>
    <mergeCell ref="B14:C14"/>
    <mergeCell ref="D14:E14"/>
    <mergeCell ref="B35:C35"/>
    <mergeCell ref="D24:E24"/>
    <mergeCell ref="D35:E35"/>
    <mergeCell ref="B33:C33"/>
    <mergeCell ref="D33:E33"/>
    <mergeCell ref="B31:C31"/>
    <mergeCell ref="B30:C30"/>
    <mergeCell ref="D30:E30"/>
    <mergeCell ref="D27:E27"/>
    <mergeCell ref="B28:C28"/>
    <mergeCell ref="D28:E28"/>
    <mergeCell ref="B29:C29"/>
    <mergeCell ref="D29:E29"/>
    <mergeCell ref="B25:C25"/>
    <mergeCell ref="D25:E25"/>
    <mergeCell ref="B24:C24"/>
    <mergeCell ref="B50:C50"/>
    <mergeCell ref="D50:E50"/>
    <mergeCell ref="B45:C45"/>
    <mergeCell ref="D45:E45"/>
    <mergeCell ref="B46:C46"/>
    <mergeCell ref="D46:E46"/>
    <mergeCell ref="B44:C44"/>
    <mergeCell ref="D44:E44"/>
    <mergeCell ref="B39:C39"/>
    <mergeCell ref="D39:E39"/>
    <mergeCell ref="B40:C40"/>
    <mergeCell ref="D40:E40"/>
    <mergeCell ref="B43:C43"/>
    <mergeCell ref="D43:E43"/>
    <mergeCell ref="B36:C36"/>
    <mergeCell ref="D36:E36"/>
    <mergeCell ref="B38:C38"/>
    <mergeCell ref="D38:E38"/>
    <mergeCell ref="B34:C34"/>
    <mergeCell ref="D34:E34"/>
    <mergeCell ref="B16:C16"/>
    <mergeCell ref="D16:E16"/>
    <mergeCell ref="B17:C17"/>
    <mergeCell ref="D17:E17"/>
    <mergeCell ref="B32:C32"/>
    <mergeCell ref="D32:E32"/>
    <mergeCell ref="B19:C19"/>
    <mergeCell ref="D19:E19"/>
    <mergeCell ref="B20:C20"/>
    <mergeCell ref="D20:E20"/>
    <mergeCell ref="D31:E31"/>
    <mergeCell ref="B26:C26"/>
    <mergeCell ref="D26:E26"/>
    <mergeCell ref="B27:C27"/>
    <mergeCell ref="B21:C21"/>
    <mergeCell ref="D21:E21"/>
    <mergeCell ref="B22:C22"/>
    <mergeCell ref="D22:E22"/>
    <mergeCell ref="B13:C13"/>
    <mergeCell ref="D13:E13"/>
    <mergeCell ref="B15:C15"/>
    <mergeCell ref="D15:E15"/>
    <mergeCell ref="A4:F4"/>
    <mergeCell ref="A5:F5"/>
    <mergeCell ref="A6:F6"/>
    <mergeCell ref="A7:F7"/>
    <mergeCell ref="A9:C9"/>
    <mergeCell ref="D9:F9"/>
    <mergeCell ref="A10:B10"/>
    <mergeCell ref="C10:D10"/>
    <mergeCell ref="E10:F10"/>
    <mergeCell ref="A11:C11"/>
    <mergeCell ref="D11:F11"/>
  </mergeCells>
  <printOptions horizontalCentered="1"/>
  <pageMargins left="0" right="0" top="0.51181102362204722" bottom="1.1811023622047245" header="0.31496062992125984" footer="0.51181102362204722"/>
  <pageSetup paperSize="9" scale="88" orientation="portrait" r:id="rId1"/>
  <headerFooter>
    <oddFooter>&amp;Lتوقيع المستأجر   Tenant signature&amp;C&amp;D / &amp;N&amp;Rتوقيع المؤجر Landlord signature</oddFooter>
  </headerFooter>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0000000}">
          <x14:formula1>
            <xm:f>ورقة1!$A$5:$C$5</xm:f>
          </x14:formula1>
          <xm:sqref>C27:D28</xm:sqref>
        </x14:dataValidation>
        <x14:dataValidation type="list" allowBlank="1" showInputMessage="1" showErrorMessage="1" xr:uid="{00000000-0002-0000-0400-000001000000}">
          <x14:formula1>
            <xm:f>ورقة1!$A$6:$D$6</xm:f>
          </x14:formula1>
          <xm:sqref>C28:D28</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44"/>
  <sheetViews>
    <sheetView view="pageBreakPreview" topLeftCell="A10" zoomScale="115" zoomScaleNormal="130" zoomScaleSheetLayoutView="115" workbookViewId="0">
      <selection activeCell="B13" sqref="B13:B24"/>
    </sheetView>
  </sheetViews>
  <sheetFormatPr defaultColWidth="8.85546875" defaultRowHeight="15.75"/>
  <cols>
    <col min="1" max="1" width="15.5703125" style="148" bestFit="1" customWidth="1"/>
    <col min="2" max="2" width="28.140625" style="10" bestFit="1" customWidth="1"/>
    <col min="3" max="5" width="22.42578125" style="10" customWidth="1"/>
    <col min="6" max="6" width="22.42578125" style="148" customWidth="1"/>
    <col min="7" max="7" width="2.5703125" style="148" hidden="1" customWidth="1"/>
    <col min="8" max="16384" width="8.85546875" style="148"/>
  </cols>
  <sheetData>
    <row r="1" spans="1:6">
      <c r="B1" s="8"/>
      <c r="C1" s="8"/>
      <c r="D1" s="8"/>
      <c r="E1" s="8"/>
    </row>
    <row r="2" spans="1:6">
      <c r="B2" s="8"/>
      <c r="C2" s="8"/>
      <c r="D2" s="8"/>
      <c r="E2" s="8"/>
    </row>
    <row r="3" spans="1:6" ht="21.75" customHeight="1">
      <c r="B3" s="8"/>
      <c r="C3" s="8"/>
      <c r="D3" s="8"/>
      <c r="E3" s="8"/>
    </row>
    <row r="4" spans="1:6" ht="21">
      <c r="A4" s="160" t="s">
        <v>76</v>
      </c>
      <c r="B4" s="160"/>
      <c r="C4" s="160"/>
      <c r="D4" s="160"/>
      <c r="E4" s="160"/>
      <c r="F4" s="160"/>
    </row>
    <row r="5" spans="1:6" ht="21">
      <c r="A5" s="160" t="s">
        <v>388</v>
      </c>
      <c r="B5" s="160"/>
      <c r="C5" s="160"/>
      <c r="D5" s="160"/>
      <c r="E5" s="160"/>
      <c r="F5" s="160"/>
    </row>
    <row r="6" spans="1:6">
      <c r="A6" s="161" t="s">
        <v>26</v>
      </c>
      <c r="B6" s="161"/>
      <c r="C6" s="161"/>
      <c r="D6" s="161"/>
      <c r="E6" s="161"/>
      <c r="F6" s="161"/>
    </row>
    <row r="7" spans="1:6">
      <c r="A7" s="161" t="s">
        <v>1</v>
      </c>
      <c r="B7" s="161"/>
      <c r="C7" s="161"/>
      <c r="D7" s="161"/>
      <c r="E7" s="161"/>
      <c r="F7" s="161"/>
    </row>
    <row r="8" spans="1:6" ht="16.5" thickBot="1">
      <c r="A8" s="308" t="s">
        <v>422</v>
      </c>
      <c r="B8" s="308"/>
      <c r="C8" s="48"/>
      <c r="D8" s="48"/>
      <c r="E8" s="48"/>
      <c r="F8" s="48"/>
    </row>
    <row r="9" spans="1:6" ht="30" customHeight="1" thickBot="1">
      <c r="A9" s="309" t="s">
        <v>423</v>
      </c>
      <c r="B9" s="309"/>
      <c r="C9" s="309"/>
      <c r="D9" s="310" t="s">
        <v>424</v>
      </c>
      <c r="E9" s="310"/>
      <c r="F9" s="310"/>
    </row>
    <row r="10" spans="1:6" ht="24.95" customHeight="1" thickBot="1">
      <c r="A10" s="279" t="s">
        <v>15</v>
      </c>
      <c r="B10" s="311"/>
      <c r="C10" s="281">
        <f>'01- Residential'!C11</f>
        <v>20241115892</v>
      </c>
      <c r="D10" s="312"/>
      <c r="E10" s="313" t="s">
        <v>14</v>
      </c>
      <c r="F10" s="314"/>
    </row>
    <row r="11" spans="1:6" ht="24.95" customHeight="1" thickBot="1">
      <c r="A11" s="222" t="s">
        <v>441</v>
      </c>
      <c r="B11" s="222"/>
      <c r="C11" s="255" t="str">
        <f>'01- Residential'!C16</f>
        <v>Ljina Sultan Sulaiman AlMahrouqi</v>
      </c>
      <c r="D11" s="255"/>
      <c r="E11" s="215" t="s">
        <v>28</v>
      </c>
      <c r="F11" s="215"/>
    </row>
    <row r="12" spans="1:6" ht="40.5" customHeight="1" thickBot="1">
      <c r="A12" s="149" t="s">
        <v>425</v>
      </c>
      <c r="B12" s="149" t="s">
        <v>426</v>
      </c>
      <c r="C12" s="149" t="s">
        <v>427</v>
      </c>
      <c r="D12" s="149" t="s">
        <v>428</v>
      </c>
      <c r="E12" s="315" t="s">
        <v>429</v>
      </c>
      <c r="F12" s="316"/>
    </row>
    <row r="13" spans="1:6" ht="16.5" thickBot="1">
      <c r="A13" s="145">
        <v>1</v>
      </c>
      <c r="B13" s="158">
        <v>45992</v>
      </c>
      <c r="C13" s="151">
        <v>325</v>
      </c>
      <c r="D13" s="151">
        <v>0</v>
      </c>
      <c r="E13" s="305">
        <f>C13</f>
        <v>325</v>
      </c>
      <c r="F13" s="306"/>
    </row>
    <row r="14" spans="1:6" ht="16.5" thickBot="1">
      <c r="A14" s="145">
        <v>2</v>
      </c>
      <c r="B14" s="158">
        <v>46023</v>
      </c>
      <c r="C14" s="151">
        <v>325</v>
      </c>
      <c r="D14" s="151">
        <v>0</v>
      </c>
      <c r="E14" s="305">
        <f>C14</f>
        <v>325</v>
      </c>
      <c r="F14" s="307"/>
    </row>
    <row r="15" spans="1:6" ht="16.5" thickBot="1">
      <c r="A15" s="145">
        <v>3</v>
      </c>
      <c r="B15" s="158">
        <v>46054</v>
      </c>
      <c r="C15" s="151">
        <v>325</v>
      </c>
      <c r="D15" s="151">
        <v>0</v>
      </c>
      <c r="E15" s="305">
        <f t="shared" ref="E15:E24" si="0">C15</f>
        <v>325</v>
      </c>
      <c r="F15" s="306"/>
    </row>
    <row r="16" spans="1:6" ht="16.5" thickBot="1">
      <c r="A16" s="145">
        <v>4</v>
      </c>
      <c r="B16" s="158">
        <v>46082</v>
      </c>
      <c r="C16" s="151">
        <v>325</v>
      </c>
      <c r="D16" s="151">
        <v>0</v>
      </c>
      <c r="E16" s="305">
        <f t="shared" si="0"/>
        <v>325</v>
      </c>
      <c r="F16" s="307"/>
    </row>
    <row r="17" spans="1:7" ht="16.5" thickBot="1">
      <c r="A17" s="145">
        <v>5</v>
      </c>
      <c r="B17" s="158">
        <v>46113</v>
      </c>
      <c r="C17" s="151">
        <v>325</v>
      </c>
      <c r="D17" s="151">
        <v>0</v>
      </c>
      <c r="E17" s="305">
        <f t="shared" si="0"/>
        <v>325</v>
      </c>
      <c r="F17" s="306"/>
    </row>
    <row r="18" spans="1:7" ht="16.5" thickBot="1">
      <c r="A18" s="145">
        <v>6</v>
      </c>
      <c r="B18" s="158">
        <v>46143</v>
      </c>
      <c r="C18" s="151">
        <v>325</v>
      </c>
      <c r="D18" s="151">
        <v>0</v>
      </c>
      <c r="E18" s="305">
        <f t="shared" si="0"/>
        <v>325</v>
      </c>
      <c r="F18" s="307"/>
    </row>
    <row r="19" spans="1:7" ht="16.5" thickBot="1">
      <c r="A19" s="145">
        <v>7</v>
      </c>
      <c r="B19" s="158">
        <v>46174</v>
      </c>
      <c r="C19" s="151">
        <v>325</v>
      </c>
      <c r="D19" s="151">
        <v>0</v>
      </c>
      <c r="E19" s="305">
        <f t="shared" si="0"/>
        <v>325</v>
      </c>
      <c r="F19" s="306"/>
    </row>
    <row r="20" spans="1:7" ht="16.5" thickBot="1">
      <c r="A20" s="145">
        <v>8</v>
      </c>
      <c r="B20" s="158">
        <v>46204</v>
      </c>
      <c r="C20" s="151">
        <v>325</v>
      </c>
      <c r="D20" s="151">
        <v>0</v>
      </c>
      <c r="E20" s="305">
        <f t="shared" si="0"/>
        <v>325</v>
      </c>
      <c r="F20" s="307"/>
    </row>
    <row r="21" spans="1:7" ht="16.5" thickBot="1">
      <c r="A21" s="145">
        <v>9</v>
      </c>
      <c r="B21" s="158">
        <v>46235</v>
      </c>
      <c r="C21" s="151">
        <v>325</v>
      </c>
      <c r="D21" s="151">
        <v>0</v>
      </c>
      <c r="E21" s="305">
        <f t="shared" si="0"/>
        <v>325</v>
      </c>
      <c r="F21" s="306"/>
    </row>
    <row r="22" spans="1:7" ht="16.5" thickBot="1">
      <c r="A22" s="145">
        <v>10</v>
      </c>
      <c r="B22" s="158">
        <v>46266</v>
      </c>
      <c r="C22" s="151">
        <v>325</v>
      </c>
      <c r="D22" s="151">
        <v>0</v>
      </c>
      <c r="E22" s="305">
        <f t="shared" si="0"/>
        <v>325</v>
      </c>
      <c r="F22" s="307"/>
    </row>
    <row r="23" spans="1:7" ht="16.5" thickBot="1">
      <c r="A23" s="145">
        <v>11</v>
      </c>
      <c r="B23" s="158">
        <v>46296</v>
      </c>
      <c r="C23" s="151">
        <v>325</v>
      </c>
      <c r="D23" s="151">
        <v>0</v>
      </c>
      <c r="E23" s="305">
        <f t="shared" si="0"/>
        <v>325</v>
      </c>
      <c r="F23" s="306"/>
    </row>
    <row r="24" spans="1:7" ht="16.5" thickBot="1">
      <c r="A24" s="145">
        <v>12</v>
      </c>
      <c r="B24" s="158">
        <v>46327</v>
      </c>
      <c r="C24" s="151">
        <v>325</v>
      </c>
      <c r="D24" s="151">
        <v>0</v>
      </c>
      <c r="E24" s="305">
        <f t="shared" si="0"/>
        <v>325</v>
      </c>
      <c r="F24" s="307"/>
    </row>
    <row r="25" spans="1:7" ht="16.5" hidden="1" thickBot="1">
      <c r="A25" s="145">
        <v>13</v>
      </c>
      <c r="B25" s="158">
        <v>45474</v>
      </c>
      <c r="C25" s="151">
        <v>245</v>
      </c>
      <c r="D25" s="151">
        <v>0</v>
      </c>
      <c r="E25" s="305">
        <v>240</v>
      </c>
      <c r="F25" s="306"/>
    </row>
    <row r="26" spans="1:7" ht="16.5" hidden="1" thickBot="1">
      <c r="A26" s="319" t="s">
        <v>430</v>
      </c>
      <c r="B26" s="319"/>
      <c r="C26" s="319"/>
      <c r="D26" s="320" t="s">
        <v>431</v>
      </c>
      <c r="E26" s="320"/>
      <c r="F26" s="320"/>
    </row>
    <row r="27" spans="1:7" ht="32.25" hidden="1" thickBot="1">
      <c r="A27" s="149" t="s">
        <v>425</v>
      </c>
      <c r="B27" s="149" t="s">
        <v>432</v>
      </c>
      <c r="C27" s="149" t="s">
        <v>433</v>
      </c>
      <c r="D27" s="149" t="s">
        <v>428</v>
      </c>
      <c r="E27" s="150" t="s">
        <v>434</v>
      </c>
      <c r="F27" s="153" t="s">
        <v>435</v>
      </c>
    </row>
    <row r="28" spans="1:7" ht="16.5" hidden="1" thickBot="1">
      <c r="A28" s="145">
        <v>1</v>
      </c>
      <c r="B28" s="158" t="s">
        <v>452</v>
      </c>
      <c r="C28" s="151">
        <v>240</v>
      </c>
      <c r="D28" s="151">
        <v>0</v>
      </c>
      <c r="E28" s="152">
        <v>240</v>
      </c>
      <c r="F28" s="146" t="s">
        <v>437</v>
      </c>
      <c r="G28" s="148" t="s">
        <v>436</v>
      </c>
    </row>
    <row r="29" spans="1:7" ht="16.5" hidden="1" thickBot="1">
      <c r="A29" s="145">
        <v>2</v>
      </c>
      <c r="B29" s="159"/>
      <c r="C29" s="151"/>
      <c r="D29" s="151"/>
      <c r="E29" s="152"/>
      <c r="F29" s="146"/>
      <c r="G29" s="148" t="s">
        <v>437</v>
      </c>
    </row>
    <row r="30" spans="1:7" ht="16.5" hidden="1" thickBot="1">
      <c r="A30" s="145">
        <v>3</v>
      </c>
      <c r="B30" s="145"/>
      <c r="C30" s="151"/>
      <c r="D30" s="151"/>
      <c r="E30" s="152"/>
      <c r="F30" s="146"/>
      <c r="G30" s="148" t="s">
        <v>438</v>
      </c>
    </row>
    <row r="31" spans="1:7" ht="16.5" hidden="1" thickBot="1">
      <c r="A31" s="145">
        <v>4</v>
      </c>
      <c r="B31" s="145"/>
      <c r="C31" s="151"/>
      <c r="D31" s="151"/>
      <c r="E31" s="152"/>
      <c r="F31" s="146"/>
    </row>
    <row r="32" spans="1:7" ht="16.5" hidden="1" thickBot="1">
      <c r="A32" s="145">
        <v>5</v>
      </c>
      <c r="B32" s="145"/>
      <c r="C32" s="151"/>
      <c r="D32" s="151"/>
      <c r="E32" s="152"/>
      <c r="F32" s="146"/>
    </row>
    <row r="33" spans="1:6" ht="16.5" hidden="1" thickBot="1">
      <c r="A33" s="145">
        <v>6</v>
      </c>
      <c r="B33" s="145"/>
      <c r="C33" s="151"/>
      <c r="D33" s="151"/>
      <c r="E33" s="152"/>
      <c r="F33" s="146"/>
    </row>
    <row r="34" spans="1:6" ht="16.5" thickBot="1">
      <c r="A34" s="319" t="s">
        <v>423</v>
      </c>
      <c r="B34" s="319"/>
      <c r="C34" s="319"/>
      <c r="D34" s="320" t="s">
        <v>424</v>
      </c>
      <c r="E34" s="320"/>
      <c r="F34" s="320"/>
    </row>
    <row r="35" spans="1:6" thickBot="1">
      <c r="A35" s="154">
        <v>1</v>
      </c>
      <c r="B35" s="317" t="s">
        <v>454</v>
      </c>
      <c r="C35" s="317"/>
      <c r="D35" s="318"/>
      <c r="E35" s="318"/>
      <c r="F35" s="155">
        <v>1</v>
      </c>
    </row>
    <row r="36" spans="1:6" thickBot="1">
      <c r="A36" s="154">
        <v>2</v>
      </c>
      <c r="B36" s="317" t="s">
        <v>455</v>
      </c>
      <c r="C36" s="317"/>
      <c r="D36" s="318"/>
      <c r="E36" s="318"/>
      <c r="F36" s="155">
        <v>2</v>
      </c>
    </row>
    <row r="37" spans="1:6" hidden="1" thickBot="1">
      <c r="A37" s="154">
        <v>3</v>
      </c>
      <c r="B37" s="317" t="s">
        <v>454</v>
      </c>
      <c r="C37" s="317"/>
      <c r="D37" s="318"/>
      <c r="E37" s="318"/>
      <c r="F37" s="155">
        <v>3</v>
      </c>
    </row>
    <row r="38" spans="1:6" hidden="1" thickBot="1">
      <c r="A38" s="154">
        <v>4</v>
      </c>
      <c r="B38" s="317"/>
      <c r="C38" s="317"/>
      <c r="D38" s="318"/>
      <c r="E38" s="318"/>
      <c r="F38" s="155">
        <v>4</v>
      </c>
    </row>
    <row r="39" spans="1:6" hidden="1" thickBot="1">
      <c r="A39" s="154">
        <v>5</v>
      </c>
      <c r="B39" s="317"/>
      <c r="C39" s="317"/>
      <c r="D39" s="318"/>
      <c r="E39" s="318"/>
      <c r="F39" s="155">
        <v>5</v>
      </c>
    </row>
    <row r="40" spans="1:6" ht="21.75" thickBot="1">
      <c r="A40" s="322" t="s">
        <v>442</v>
      </c>
      <c r="B40" s="323"/>
      <c r="C40" s="324"/>
      <c r="D40" s="325" t="s">
        <v>36</v>
      </c>
      <c r="E40" s="323"/>
      <c r="F40" s="326"/>
    </row>
    <row r="41" spans="1:6" ht="15">
      <c r="A41" s="183" t="s">
        <v>459</v>
      </c>
      <c r="B41" s="184"/>
      <c r="C41" s="184"/>
      <c r="D41" s="184"/>
      <c r="E41" s="184"/>
      <c r="F41" s="185"/>
    </row>
    <row r="42" spans="1:6" thickBot="1">
      <c r="A42" s="186"/>
      <c r="B42" s="187"/>
      <c r="C42" s="187"/>
      <c r="D42" s="187"/>
      <c r="E42" s="187"/>
      <c r="F42" s="188"/>
    </row>
    <row r="43" spans="1:6" ht="21.75" customHeight="1" thickBot="1">
      <c r="A43" s="319" t="s">
        <v>47</v>
      </c>
      <c r="B43" s="319"/>
      <c r="C43" s="319"/>
      <c r="D43" s="320" t="s">
        <v>35</v>
      </c>
      <c r="E43" s="320"/>
      <c r="F43" s="320"/>
    </row>
    <row r="44" spans="1:6" ht="37.5" customHeight="1" thickBot="1">
      <c r="A44" s="156">
        <v>1</v>
      </c>
      <c r="B44" s="317" t="s">
        <v>439</v>
      </c>
      <c r="C44" s="317"/>
      <c r="D44" s="321" t="s">
        <v>440</v>
      </c>
      <c r="E44" s="321"/>
      <c r="F44" s="155">
        <v>1</v>
      </c>
    </row>
  </sheetData>
  <sheetProtection formatCells="0" formatColumns="0" formatRows="0" insertColumns="0" insertRows="0" insertHyperlinks="0" deleteColumns="0" deleteRows="0" sort="0" autoFilter="0" pivotTables="0"/>
  <protectedRanges>
    <protectedRange sqref="A40:F42" name="نطاق1"/>
  </protectedRanges>
  <mergeCells count="48">
    <mergeCell ref="B44:C44"/>
    <mergeCell ref="D44:E44"/>
    <mergeCell ref="A41:F42"/>
    <mergeCell ref="A40:C40"/>
    <mergeCell ref="D40:F40"/>
    <mergeCell ref="B38:C38"/>
    <mergeCell ref="D38:E38"/>
    <mergeCell ref="B39:C39"/>
    <mergeCell ref="D39:E39"/>
    <mergeCell ref="A43:C43"/>
    <mergeCell ref="D43:F43"/>
    <mergeCell ref="E18:F18"/>
    <mergeCell ref="B36:C36"/>
    <mergeCell ref="D36:E36"/>
    <mergeCell ref="B37:C37"/>
    <mergeCell ref="D37:E37"/>
    <mergeCell ref="E11:F11"/>
    <mergeCell ref="E12:F12"/>
    <mergeCell ref="E17:F17"/>
    <mergeCell ref="B35:C35"/>
    <mergeCell ref="D35:E35"/>
    <mergeCell ref="E19:F19"/>
    <mergeCell ref="E20:F20"/>
    <mergeCell ref="E21:F21"/>
    <mergeCell ref="E22:F22"/>
    <mergeCell ref="E23:F23"/>
    <mergeCell ref="E24:F24"/>
    <mergeCell ref="E25:F25"/>
    <mergeCell ref="A26:C26"/>
    <mergeCell ref="D26:F26"/>
    <mergeCell ref="A34:C34"/>
    <mergeCell ref="D34:F34"/>
    <mergeCell ref="E13:F13"/>
    <mergeCell ref="E15:F15"/>
    <mergeCell ref="E16:F16"/>
    <mergeCell ref="A4:F4"/>
    <mergeCell ref="A5:F5"/>
    <mergeCell ref="A6:F6"/>
    <mergeCell ref="A7:F7"/>
    <mergeCell ref="A8:B8"/>
    <mergeCell ref="E14:F14"/>
    <mergeCell ref="A9:C9"/>
    <mergeCell ref="D9:F9"/>
    <mergeCell ref="A10:B10"/>
    <mergeCell ref="C10:D10"/>
    <mergeCell ref="E10:F10"/>
    <mergeCell ref="A11:B11"/>
    <mergeCell ref="C11:D11"/>
  </mergeCells>
  <dataValidations count="1">
    <dataValidation type="list" allowBlank="1" showInputMessage="1" showErrorMessage="1" sqref="F28:F33" xr:uid="{00000000-0002-0000-0500-000000000000}">
      <formula1>$G$28:$G$30</formula1>
    </dataValidation>
  </dataValidations>
  <printOptions horizontalCentered="1"/>
  <pageMargins left="0" right="0" top="0.39370078740157483" bottom="1.1811023622047245" header="0.39370078740157483" footer="0.39370078740157483"/>
  <pageSetup paperSize="9" scale="61" orientation="portrait" r:id="rId1"/>
  <headerFooter>
    <oddFooter>&amp;Lتوقيع المستأجر   Tenant signature&amp;C&amp;P&amp;D - &amp;P&amp;Rتوقيع المؤجر Landlord signature</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8"/>
  <sheetViews>
    <sheetView topLeftCell="B12" zoomScale="85" zoomScaleNormal="85" zoomScaleSheetLayoutView="130" workbookViewId="0">
      <selection activeCell="B6" sqref="B6:G6"/>
    </sheetView>
  </sheetViews>
  <sheetFormatPr defaultColWidth="8.85546875" defaultRowHeight="15.75"/>
  <cols>
    <col min="1" max="1" width="13.5703125" style="9" customWidth="1"/>
    <col min="2" max="2" width="16.85546875" style="9" customWidth="1"/>
    <col min="3" max="6" width="16.85546875" style="10" customWidth="1"/>
    <col min="7" max="7" width="16.85546875" style="9" customWidth="1"/>
    <col min="8" max="8" width="13.5703125" style="9" customWidth="1"/>
    <col min="9" max="16384" width="8.85546875" style="9"/>
  </cols>
  <sheetData>
    <row r="1" spans="1:8" ht="15">
      <c r="A1" s="17"/>
      <c r="B1" s="18"/>
      <c r="C1" s="18"/>
      <c r="D1" s="18"/>
      <c r="E1" s="19"/>
      <c r="F1" s="19"/>
      <c r="G1" s="19"/>
      <c r="H1" s="18"/>
    </row>
    <row r="2" spans="1:8">
      <c r="B2" s="15"/>
      <c r="C2" s="8"/>
      <c r="D2" s="8"/>
      <c r="E2" s="8"/>
      <c r="F2" s="8"/>
      <c r="G2" s="15"/>
    </row>
    <row r="3" spans="1:8">
      <c r="B3" s="15"/>
      <c r="C3" s="8"/>
      <c r="D3" s="8"/>
      <c r="E3" s="8"/>
      <c r="F3" s="8"/>
      <c r="G3" s="15"/>
    </row>
    <row r="4" spans="1:8">
      <c r="B4" s="15"/>
      <c r="C4" s="8"/>
      <c r="D4" s="8"/>
      <c r="E4" s="8"/>
      <c r="F4" s="8"/>
      <c r="G4" s="15"/>
    </row>
    <row r="5" spans="1:8" ht="21">
      <c r="B5" s="160" t="s">
        <v>76</v>
      </c>
      <c r="C5" s="160"/>
      <c r="D5" s="160"/>
      <c r="E5" s="160"/>
      <c r="F5" s="160"/>
      <c r="G5" s="160"/>
    </row>
    <row r="6" spans="1:8" ht="21">
      <c r="B6" s="160" t="s">
        <v>388</v>
      </c>
      <c r="C6" s="160"/>
      <c r="D6" s="160"/>
      <c r="E6" s="160"/>
      <c r="F6" s="160"/>
      <c r="G6" s="160"/>
    </row>
    <row r="7" spans="1:8">
      <c r="B7" s="161" t="s">
        <v>26</v>
      </c>
      <c r="C7" s="161"/>
      <c r="D7" s="161"/>
      <c r="E7" s="161"/>
      <c r="F7" s="161"/>
      <c r="G7" s="161"/>
    </row>
    <row r="8" spans="1:8">
      <c r="B8" s="161" t="s">
        <v>1</v>
      </c>
      <c r="C8" s="161"/>
      <c r="D8" s="161"/>
      <c r="E8" s="161"/>
      <c r="F8" s="161"/>
      <c r="G8" s="161"/>
    </row>
    <row r="9" spans="1:8" ht="16.5" thickBot="1">
      <c r="B9" s="48"/>
      <c r="C9" s="48"/>
      <c r="D9" s="48"/>
      <c r="E9" s="48"/>
      <c r="F9" s="48"/>
      <c r="G9" s="48"/>
    </row>
    <row r="10" spans="1:8" ht="21" customHeight="1" thickBot="1">
      <c r="A10" s="354" t="s">
        <v>254</v>
      </c>
      <c r="B10" s="355"/>
      <c r="C10" s="355"/>
      <c r="D10" s="355"/>
      <c r="E10" s="354" t="s">
        <v>255</v>
      </c>
      <c r="F10" s="355"/>
      <c r="G10" s="355"/>
      <c r="H10" s="356"/>
    </row>
    <row r="11" spans="1:8" s="16" customFormat="1" ht="50.25" customHeight="1">
      <c r="A11" s="357" t="s">
        <v>256</v>
      </c>
      <c r="B11" s="358"/>
      <c r="C11" s="358"/>
      <c r="D11" s="358"/>
      <c r="E11" s="359" t="s">
        <v>257</v>
      </c>
      <c r="F11" s="360"/>
      <c r="G11" s="360"/>
      <c r="H11" s="361"/>
    </row>
    <row r="12" spans="1:8" s="16" customFormat="1" ht="62.25" customHeight="1" thickBot="1">
      <c r="A12" s="327" t="s">
        <v>258</v>
      </c>
      <c r="B12" s="328"/>
      <c r="C12" s="328"/>
      <c r="D12" s="328"/>
      <c r="E12" s="329" t="s">
        <v>259</v>
      </c>
      <c r="F12" s="330"/>
      <c r="G12" s="330"/>
      <c r="H12" s="331"/>
    </row>
    <row r="13" spans="1:8" thickBot="1">
      <c r="A13" s="338"/>
      <c r="B13" s="338"/>
      <c r="C13" s="338"/>
      <c r="D13" s="338"/>
      <c r="E13" s="339"/>
      <c r="F13" s="339"/>
      <c r="G13" s="339"/>
      <c r="H13" s="339"/>
    </row>
    <row r="14" spans="1:8" ht="22.5" customHeight="1" thickBot="1">
      <c r="A14" s="340" t="s">
        <v>261</v>
      </c>
      <c r="B14" s="341"/>
      <c r="C14" s="341"/>
      <c r="D14" s="341"/>
      <c r="E14" s="342" t="s">
        <v>260</v>
      </c>
      <c r="F14" s="343"/>
      <c r="G14" s="343"/>
      <c r="H14" s="344"/>
    </row>
    <row r="15" spans="1:8" ht="25.5" customHeight="1">
      <c r="A15" s="22" t="s">
        <v>262</v>
      </c>
      <c r="B15" s="23"/>
      <c r="C15" s="23" t="s">
        <v>263</v>
      </c>
      <c r="D15" s="34"/>
      <c r="E15" s="37"/>
      <c r="F15" s="24" t="s">
        <v>275</v>
      </c>
      <c r="G15" s="24"/>
      <c r="H15" s="25" t="s">
        <v>274</v>
      </c>
    </row>
    <row r="16" spans="1:8" ht="25.5" customHeight="1">
      <c r="A16" s="26" t="s">
        <v>264</v>
      </c>
      <c r="B16" s="21"/>
      <c r="C16" s="21" t="s">
        <v>265</v>
      </c>
      <c r="D16" s="35"/>
      <c r="E16" s="108"/>
      <c r="F16" s="109" t="s">
        <v>277</v>
      </c>
      <c r="G16" s="109"/>
      <c r="H16" s="27" t="s">
        <v>276</v>
      </c>
    </row>
    <row r="17" spans="1:8" ht="25.5" customHeight="1">
      <c r="A17" s="39" t="s">
        <v>286</v>
      </c>
      <c r="B17" s="21"/>
      <c r="C17" s="21" t="s">
        <v>266</v>
      </c>
      <c r="D17" s="35"/>
      <c r="E17" s="108"/>
      <c r="F17" s="109" t="s">
        <v>279</v>
      </c>
      <c r="G17" s="109"/>
      <c r="H17" s="27" t="s">
        <v>278</v>
      </c>
    </row>
    <row r="18" spans="1:8" ht="25.5" customHeight="1">
      <c r="A18" s="28" t="s">
        <v>267</v>
      </c>
      <c r="B18" s="332"/>
      <c r="C18" s="332"/>
      <c r="D18" s="333"/>
      <c r="E18" s="336"/>
      <c r="F18" s="337"/>
      <c r="G18" s="337"/>
      <c r="H18" s="27" t="s">
        <v>280</v>
      </c>
    </row>
    <row r="19" spans="1:8" ht="25.5" customHeight="1">
      <c r="A19" s="26" t="s">
        <v>269</v>
      </c>
      <c r="B19" s="21"/>
      <c r="C19" s="21" t="s">
        <v>268</v>
      </c>
      <c r="D19" s="35"/>
      <c r="E19" s="108"/>
      <c r="F19" s="109" t="s">
        <v>282</v>
      </c>
      <c r="G19" s="109"/>
      <c r="H19" s="27" t="s">
        <v>281</v>
      </c>
    </row>
    <row r="20" spans="1:8" ht="25.5" customHeight="1">
      <c r="A20" s="26" t="s">
        <v>49</v>
      </c>
      <c r="B20" s="332"/>
      <c r="C20" s="332"/>
      <c r="D20" s="333"/>
      <c r="E20" s="334"/>
      <c r="F20" s="335"/>
      <c r="G20" s="335"/>
      <c r="H20" s="29" t="s">
        <v>283</v>
      </c>
    </row>
    <row r="21" spans="1:8" ht="25.5" customHeight="1" thickBot="1">
      <c r="A21" s="30" t="s">
        <v>270</v>
      </c>
      <c r="B21" s="31"/>
      <c r="C21" s="31" t="s">
        <v>271</v>
      </c>
      <c r="D21" s="36"/>
      <c r="E21" s="38"/>
      <c r="F21" s="32" t="s">
        <v>285</v>
      </c>
      <c r="G21" s="32"/>
      <c r="H21" s="33" t="s">
        <v>284</v>
      </c>
    </row>
    <row r="22" spans="1:8" thickBot="1">
      <c r="A22" s="17"/>
      <c r="B22" s="17"/>
      <c r="C22" s="17"/>
      <c r="D22" s="17"/>
      <c r="E22" s="20"/>
      <c r="F22" s="20"/>
      <c r="G22" s="20"/>
      <c r="H22" s="17"/>
    </row>
    <row r="23" spans="1:8" ht="25.5" customHeight="1" thickBot="1">
      <c r="A23" s="352" t="s">
        <v>272</v>
      </c>
      <c r="B23" s="353"/>
      <c r="C23" s="353"/>
      <c r="D23" s="353"/>
      <c r="E23" s="349" t="s">
        <v>273</v>
      </c>
      <c r="F23" s="350"/>
      <c r="G23" s="350"/>
      <c r="H23" s="351"/>
    </row>
    <row r="24" spans="1:8" ht="25.5" customHeight="1">
      <c r="A24" s="22" t="s">
        <v>262</v>
      </c>
      <c r="B24" s="23"/>
      <c r="C24" s="23" t="s">
        <v>263</v>
      </c>
      <c r="D24" s="34"/>
      <c r="E24" s="44"/>
      <c r="F24" s="45" t="s">
        <v>275</v>
      </c>
      <c r="G24" s="45"/>
      <c r="H24" s="40" t="s">
        <v>274</v>
      </c>
    </row>
    <row r="25" spans="1:8" ht="25.5" customHeight="1">
      <c r="A25" s="26" t="s">
        <v>264</v>
      </c>
      <c r="B25" s="21"/>
      <c r="C25" s="21" t="s">
        <v>265</v>
      </c>
      <c r="D25" s="35"/>
      <c r="E25" s="106"/>
      <c r="F25" s="107" t="s">
        <v>277</v>
      </c>
      <c r="G25" s="107"/>
      <c r="H25" s="41" t="s">
        <v>276</v>
      </c>
    </row>
    <row r="26" spans="1:8" ht="25.5" customHeight="1">
      <c r="A26" s="39" t="s">
        <v>286</v>
      </c>
      <c r="B26" s="21"/>
      <c r="C26" s="21" t="s">
        <v>266</v>
      </c>
      <c r="D26" s="35"/>
      <c r="E26" s="106"/>
      <c r="F26" s="107" t="s">
        <v>279</v>
      </c>
      <c r="G26" s="107"/>
      <c r="H26" s="41" t="s">
        <v>278</v>
      </c>
    </row>
    <row r="27" spans="1:8" ht="25.5" customHeight="1">
      <c r="A27" s="28" t="s">
        <v>267</v>
      </c>
      <c r="B27" s="332"/>
      <c r="C27" s="332"/>
      <c r="D27" s="333"/>
      <c r="E27" s="347"/>
      <c r="F27" s="348"/>
      <c r="G27" s="348"/>
      <c r="H27" s="41" t="s">
        <v>280</v>
      </c>
    </row>
    <row r="28" spans="1:8" ht="25.5" customHeight="1">
      <c r="A28" s="26" t="s">
        <v>269</v>
      </c>
      <c r="B28" s="21"/>
      <c r="C28" s="21" t="s">
        <v>268</v>
      </c>
      <c r="D28" s="35"/>
      <c r="E28" s="106"/>
      <c r="F28" s="107" t="s">
        <v>282</v>
      </c>
      <c r="G28" s="107"/>
      <c r="H28" s="42" t="s">
        <v>281</v>
      </c>
    </row>
    <row r="29" spans="1:8" ht="25.5" customHeight="1">
      <c r="A29" s="26" t="s">
        <v>49</v>
      </c>
      <c r="B29" s="332"/>
      <c r="C29" s="332"/>
      <c r="D29" s="333"/>
      <c r="E29" s="345"/>
      <c r="F29" s="346"/>
      <c r="G29" s="346"/>
      <c r="H29" s="42" t="s">
        <v>283</v>
      </c>
    </row>
    <row r="30" spans="1:8" ht="25.5" customHeight="1" thickBot="1">
      <c r="A30" s="30" t="s">
        <v>270</v>
      </c>
      <c r="B30" s="31"/>
      <c r="C30" s="31" t="s">
        <v>271</v>
      </c>
      <c r="D30" s="36"/>
      <c r="E30" s="46"/>
      <c r="F30" s="47" t="s">
        <v>285</v>
      </c>
      <c r="G30" s="47"/>
      <c r="H30" s="43" t="s">
        <v>284</v>
      </c>
    </row>
    <row r="31" spans="1:8" thickBot="1">
      <c r="A31" s="17"/>
      <c r="B31" s="17"/>
      <c r="C31" s="17"/>
      <c r="D31" s="17"/>
      <c r="E31" s="17"/>
      <c r="F31" s="17"/>
      <c r="G31" s="17"/>
      <c r="H31" s="17"/>
    </row>
    <row r="32" spans="1:8" ht="25.5" customHeight="1">
      <c r="A32" s="378" t="s">
        <v>4</v>
      </c>
      <c r="B32" s="379"/>
      <c r="C32" s="380" t="str">
        <f>'01- Residential'!C16</f>
        <v>Ljina Sultan Sulaiman AlMahrouqi</v>
      </c>
      <c r="D32" s="381"/>
      <c r="E32" s="381"/>
      <c r="F32" s="382"/>
      <c r="G32" s="362" t="s">
        <v>287</v>
      </c>
      <c r="H32" s="363"/>
    </row>
    <row r="33" spans="1:8" ht="25.5" customHeight="1">
      <c r="A33" s="364" t="s">
        <v>251</v>
      </c>
      <c r="B33" s="365"/>
      <c r="C33" s="366">
        <f>'01- Residential'!C17</f>
        <v>5640721</v>
      </c>
      <c r="D33" s="367"/>
      <c r="E33" s="367"/>
      <c r="F33" s="368"/>
      <c r="G33" s="369" t="s">
        <v>250</v>
      </c>
      <c r="H33" s="370"/>
    </row>
    <row r="34" spans="1:8" ht="25.5" customHeight="1" thickBot="1">
      <c r="A34" s="371" t="s">
        <v>253</v>
      </c>
      <c r="B34" s="372"/>
      <c r="C34" s="373">
        <f>'01- Residential'!C18</f>
        <v>0</v>
      </c>
      <c r="D34" s="374"/>
      <c r="E34" s="374"/>
      <c r="F34" s="375"/>
      <c r="G34" s="376" t="s">
        <v>252</v>
      </c>
      <c r="H34" s="377"/>
    </row>
    <row r="35" spans="1:8" thickBot="1">
      <c r="A35" s="383"/>
      <c r="B35" s="384"/>
      <c r="C35" s="384"/>
      <c r="D35" s="384"/>
      <c r="E35" s="384"/>
      <c r="F35" s="384"/>
      <c r="G35" s="384"/>
      <c r="H35" s="385"/>
    </row>
    <row r="36" spans="1:8" ht="92.25" customHeight="1" thickBot="1">
      <c r="A36" s="386" t="s">
        <v>299</v>
      </c>
      <c r="B36" s="387"/>
      <c r="C36" s="388"/>
      <c r="D36" s="388"/>
      <c r="E36" s="388"/>
      <c r="F36" s="388"/>
      <c r="G36" s="389" t="s">
        <v>298</v>
      </c>
      <c r="H36" s="390"/>
    </row>
    <row r="37" spans="1:8" thickBot="1">
      <c r="A37" s="17"/>
      <c r="B37" s="17"/>
      <c r="C37" s="17"/>
      <c r="D37" s="17"/>
      <c r="E37" s="17"/>
      <c r="F37" s="17"/>
      <c r="G37" s="17"/>
      <c r="H37" s="17"/>
    </row>
    <row r="38" spans="1:8" ht="27.75" customHeight="1" thickBot="1">
      <c r="A38" s="391" t="s">
        <v>248</v>
      </c>
      <c r="B38" s="392"/>
      <c r="C38" s="393"/>
      <c r="D38" s="394"/>
      <c r="E38" s="394"/>
      <c r="F38" s="394"/>
      <c r="G38" s="389" t="s">
        <v>249</v>
      </c>
      <c r="H38" s="390"/>
    </row>
    <row r="39" spans="1:8" ht="15">
      <c r="A39" s="17"/>
      <c r="B39" s="17"/>
      <c r="C39" s="17"/>
      <c r="D39" s="17"/>
      <c r="E39" s="17"/>
      <c r="F39" s="17"/>
      <c r="G39" s="17"/>
      <c r="H39" s="17"/>
    </row>
    <row r="40" spans="1:8" ht="15">
      <c r="A40" s="17"/>
      <c r="B40" s="17"/>
      <c r="C40" s="17"/>
      <c r="D40" s="17"/>
      <c r="E40" s="17"/>
      <c r="F40" s="17"/>
      <c r="G40" s="17"/>
      <c r="H40" s="17"/>
    </row>
    <row r="41" spans="1:8" ht="15">
      <c r="A41" s="17"/>
      <c r="B41" s="17"/>
      <c r="C41" s="17"/>
      <c r="D41" s="17"/>
      <c r="E41" s="17"/>
      <c r="F41" s="17"/>
      <c r="G41" s="17"/>
      <c r="H41" s="17"/>
    </row>
    <row r="42" spans="1:8" ht="15">
      <c r="A42" s="17"/>
      <c r="B42" s="17"/>
      <c r="C42" s="17"/>
      <c r="D42" s="17"/>
      <c r="E42" s="17"/>
      <c r="F42" s="17"/>
      <c r="G42" s="17"/>
      <c r="H42" s="17"/>
    </row>
    <row r="43" spans="1:8" ht="15">
      <c r="A43" s="17"/>
      <c r="B43" s="17"/>
      <c r="C43" s="17"/>
      <c r="D43" s="17"/>
      <c r="E43" s="17"/>
      <c r="F43" s="17"/>
      <c r="G43" s="17"/>
      <c r="H43" s="17"/>
    </row>
    <row r="44" spans="1:8" ht="15">
      <c r="A44" s="17"/>
      <c r="B44" s="17"/>
      <c r="C44" s="17"/>
      <c r="D44" s="17"/>
      <c r="E44" s="17"/>
      <c r="F44" s="17"/>
      <c r="G44" s="17"/>
      <c r="H44" s="17"/>
    </row>
    <row r="45" spans="1:8" ht="15">
      <c r="A45" s="17"/>
      <c r="B45" s="17"/>
      <c r="C45" s="17"/>
      <c r="D45" s="17"/>
      <c r="E45" s="17"/>
      <c r="F45" s="17"/>
      <c r="G45" s="17"/>
      <c r="H45" s="17"/>
    </row>
    <row r="46" spans="1:8" ht="15">
      <c r="A46" s="17"/>
      <c r="B46" s="17"/>
      <c r="C46" s="17"/>
      <c r="D46" s="17"/>
      <c r="E46" s="17"/>
      <c r="F46" s="17"/>
      <c r="G46" s="17"/>
      <c r="H46" s="17"/>
    </row>
    <row r="47" spans="1:8" ht="15">
      <c r="A47" s="17"/>
      <c r="B47" s="17"/>
      <c r="C47" s="17"/>
      <c r="D47" s="17"/>
      <c r="E47" s="17"/>
      <c r="F47" s="17"/>
      <c r="G47" s="17"/>
      <c r="H47" s="17"/>
    </row>
    <row r="48" spans="1:8" ht="15">
      <c r="A48" s="17"/>
      <c r="B48" s="17"/>
      <c r="C48" s="17"/>
      <c r="D48" s="17"/>
      <c r="E48" s="17"/>
      <c r="F48" s="17"/>
      <c r="G48" s="17"/>
      <c r="H48" s="17"/>
    </row>
    <row r="49" spans="1:8" ht="15">
      <c r="A49" s="17"/>
      <c r="B49" s="17"/>
      <c r="C49" s="17"/>
      <c r="D49" s="17"/>
      <c r="E49" s="17"/>
      <c r="F49" s="17"/>
      <c r="G49" s="17"/>
      <c r="H49" s="17"/>
    </row>
    <row r="50" spans="1:8" ht="15">
      <c r="A50" s="17"/>
      <c r="B50" s="17"/>
      <c r="C50" s="17"/>
      <c r="D50" s="17"/>
      <c r="E50" s="17"/>
      <c r="F50" s="17"/>
      <c r="G50" s="17"/>
      <c r="H50" s="17"/>
    </row>
    <row r="51" spans="1:8" ht="15">
      <c r="A51" s="17"/>
      <c r="B51" s="17"/>
      <c r="C51" s="17"/>
      <c r="D51" s="17"/>
      <c r="E51" s="17"/>
      <c r="F51" s="17"/>
      <c r="G51" s="17"/>
      <c r="H51" s="17"/>
    </row>
    <row r="52" spans="1:8" ht="15">
      <c r="A52" s="17"/>
      <c r="B52" s="17"/>
      <c r="C52" s="17"/>
      <c r="D52" s="17"/>
      <c r="E52" s="17"/>
      <c r="F52" s="17"/>
      <c r="G52" s="17"/>
      <c r="H52" s="17"/>
    </row>
    <row r="53" spans="1:8" ht="15">
      <c r="A53" s="17"/>
      <c r="B53" s="17"/>
      <c r="C53" s="17"/>
      <c r="D53" s="17"/>
      <c r="E53" s="17"/>
      <c r="F53" s="17"/>
      <c r="G53" s="17"/>
      <c r="H53" s="17"/>
    </row>
    <row r="54" spans="1:8" ht="15">
      <c r="A54" s="17"/>
      <c r="B54" s="17"/>
      <c r="C54" s="17"/>
      <c r="D54" s="17"/>
      <c r="E54" s="17"/>
      <c r="F54" s="17"/>
      <c r="G54" s="17"/>
      <c r="H54" s="17"/>
    </row>
    <row r="55" spans="1:8" ht="15">
      <c r="A55" s="17"/>
      <c r="B55" s="17"/>
      <c r="C55" s="17"/>
      <c r="D55" s="17"/>
      <c r="E55" s="17"/>
      <c r="F55" s="17"/>
      <c r="G55" s="17"/>
      <c r="H55" s="17"/>
    </row>
    <row r="56" spans="1:8" ht="15">
      <c r="A56" s="17"/>
      <c r="B56" s="17"/>
      <c r="C56" s="17"/>
      <c r="D56" s="17"/>
      <c r="E56" s="17"/>
      <c r="F56" s="17"/>
      <c r="G56" s="17"/>
      <c r="H56" s="17"/>
    </row>
    <row r="57" spans="1:8" ht="15">
      <c r="A57" s="17"/>
      <c r="B57" s="17"/>
      <c r="C57" s="17"/>
      <c r="D57" s="17"/>
      <c r="E57" s="17"/>
      <c r="F57" s="17"/>
      <c r="G57" s="17"/>
      <c r="H57" s="17"/>
    </row>
    <row r="58" spans="1:8" ht="15">
      <c r="A58" s="17"/>
      <c r="B58" s="17"/>
      <c r="C58" s="17"/>
      <c r="D58" s="17"/>
      <c r="E58" s="17"/>
      <c r="F58" s="17"/>
      <c r="G58" s="17"/>
      <c r="H58" s="17"/>
    </row>
    <row r="59" spans="1:8" ht="15">
      <c r="A59" s="17"/>
      <c r="B59" s="17"/>
      <c r="C59" s="17"/>
      <c r="D59" s="17"/>
      <c r="E59" s="17"/>
      <c r="F59" s="17"/>
      <c r="G59" s="17"/>
      <c r="H59" s="17"/>
    </row>
    <row r="60" spans="1:8" ht="15">
      <c r="A60" s="17"/>
      <c r="B60" s="17"/>
      <c r="C60" s="17"/>
      <c r="D60" s="17"/>
      <c r="E60" s="17"/>
      <c r="F60" s="17"/>
      <c r="G60" s="17"/>
      <c r="H60" s="17"/>
    </row>
    <row r="61" spans="1:8" ht="15">
      <c r="A61" s="17"/>
      <c r="B61" s="17"/>
      <c r="C61" s="17"/>
      <c r="D61" s="17"/>
      <c r="E61" s="17"/>
      <c r="F61" s="17"/>
      <c r="G61" s="17"/>
      <c r="H61" s="17"/>
    </row>
    <row r="62" spans="1:8" ht="15">
      <c r="A62" s="17"/>
      <c r="B62" s="17"/>
      <c r="C62" s="17"/>
      <c r="D62" s="17"/>
      <c r="E62" s="17"/>
      <c r="F62" s="17"/>
      <c r="G62" s="17"/>
      <c r="H62" s="17"/>
    </row>
    <row r="63" spans="1:8" ht="15">
      <c r="A63" s="17"/>
      <c r="B63" s="17"/>
      <c r="C63" s="17"/>
      <c r="D63" s="17"/>
      <c r="E63" s="17"/>
      <c r="F63" s="17"/>
      <c r="G63" s="17"/>
      <c r="H63" s="17"/>
    </row>
    <row r="64" spans="1:8" ht="15">
      <c r="A64" s="17"/>
      <c r="B64" s="17"/>
      <c r="C64" s="17"/>
      <c r="D64" s="17"/>
      <c r="E64" s="17"/>
      <c r="F64" s="17"/>
      <c r="G64" s="17"/>
      <c r="H64" s="17"/>
    </row>
    <row r="65" spans="1:8" ht="15">
      <c r="A65" s="17"/>
      <c r="B65" s="17"/>
      <c r="C65" s="17"/>
      <c r="D65" s="17"/>
      <c r="E65" s="17"/>
      <c r="F65" s="17"/>
      <c r="G65" s="17"/>
      <c r="H65" s="17"/>
    </row>
    <row r="66" spans="1:8" ht="15">
      <c r="A66" s="17"/>
      <c r="B66" s="17"/>
      <c r="C66" s="17"/>
      <c r="D66" s="17"/>
      <c r="E66" s="17"/>
      <c r="F66" s="17"/>
      <c r="G66" s="17"/>
      <c r="H66" s="17"/>
    </row>
    <row r="67" spans="1:8" ht="15">
      <c r="A67" s="17"/>
      <c r="B67" s="17"/>
      <c r="C67" s="17"/>
      <c r="D67" s="17"/>
      <c r="E67" s="17"/>
      <c r="F67" s="17"/>
      <c r="G67" s="17"/>
      <c r="H67" s="17"/>
    </row>
    <row r="68" spans="1:8" ht="15">
      <c r="A68" s="17"/>
      <c r="B68" s="17"/>
      <c r="C68" s="17"/>
      <c r="D68" s="17"/>
      <c r="E68" s="17"/>
      <c r="F68" s="17"/>
      <c r="G68" s="17"/>
      <c r="H68" s="17"/>
    </row>
  </sheetData>
  <sheetProtection sheet="1" objects="1" formatCells="0" formatColumns="0" formatRows="0" insertColumns="0" insertRows="0" insertHyperlinks="0" deleteColumns="0" deleteRows="0" sort="0" autoFilter="0" pivotTables="0"/>
  <mergeCells count="40">
    <mergeCell ref="A35:H35"/>
    <mergeCell ref="A36:B36"/>
    <mergeCell ref="C36:F36"/>
    <mergeCell ref="G36:H36"/>
    <mergeCell ref="A38:B38"/>
    <mergeCell ref="C38:F38"/>
    <mergeCell ref="G38:H38"/>
    <mergeCell ref="G32:H32"/>
    <mergeCell ref="A33:B33"/>
    <mergeCell ref="C33:F33"/>
    <mergeCell ref="G33:H33"/>
    <mergeCell ref="A34:B34"/>
    <mergeCell ref="C34:F34"/>
    <mergeCell ref="G34:H34"/>
    <mergeCell ref="A32:B32"/>
    <mergeCell ref="C32:F32"/>
    <mergeCell ref="A10:D10"/>
    <mergeCell ref="E10:H10"/>
    <mergeCell ref="A11:D11"/>
    <mergeCell ref="E11:H11"/>
    <mergeCell ref="B5:G5"/>
    <mergeCell ref="B6:G6"/>
    <mergeCell ref="B7:G7"/>
    <mergeCell ref="B8:G8"/>
    <mergeCell ref="B29:D29"/>
    <mergeCell ref="E29:G29"/>
    <mergeCell ref="B27:D27"/>
    <mergeCell ref="E27:G27"/>
    <mergeCell ref="E23:H23"/>
    <mergeCell ref="A23:D23"/>
    <mergeCell ref="A12:D12"/>
    <mergeCell ref="E12:H12"/>
    <mergeCell ref="B20:D20"/>
    <mergeCell ref="E20:G20"/>
    <mergeCell ref="E18:G18"/>
    <mergeCell ref="B18:D18"/>
    <mergeCell ref="A13:D13"/>
    <mergeCell ref="E13:H13"/>
    <mergeCell ref="A14:D14"/>
    <mergeCell ref="E14:H14"/>
  </mergeCells>
  <phoneticPr fontId="20" type="noConversion"/>
  <printOptions horizontalCentered="1"/>
  <pageMargins left="0.39370078740157483" right="0.39370078740157483" top="0.51181102362204722" bottom="1.1811023622047245" header="0.31496062992125984" footer="0.31496062992125984"/>
  <pageSetup paperSize="9" scale="68" orientation="portrait" r:id="rId1"/>
  <headerFooter>
    <oddFooter>&amp;Lتوقيع المستأجر   Tenant signature&amp;C&amp;P&amp;D - &amp;P&amp;Rتوقيع المؤجر Landlord signature</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H72"/>
  <sheetViews>
    <sheetView topLeftCell="A41" zoomScale="130" zoomScaleNormal="130" workbookViewId="0">
      <selection activeCell="G30" sqref="G30"/>
    </sheetView>
  </sheetViews>
  <sheetFormatPr defaultColWidth="8.85546875" defaultRowHeight="15.75"/>
  <cols>
    <col min="1" max="1" width="3.28515625" style="49" customWidth="1"/>
    <col min="2" max="2" width="24.85546875" style="10" customWidth="1"/>
    <col min="3" max="3" width="14" style="10" customWidth="1"/>
    <col min="4" max="5" width="6.7109375" style="10" customWidth="1"/>
    <col min="6" max="6" width="14" style="10" customWidth="1"/>
    <col min="7" max="7" width="24.85546875" style="10" customWidth="1"/>
    <col min="8" max="16384" width="8.85546875" style="49"/>
  </cols>
  <sheetData>
    <row r="1" spans="2:8">
      <c r="B1" s="8"/>
      <c r="C1" s="8"/>
      <c r="D1" s="8"/>
      <c r="E1" s="8"/>
      <c r="F1" s="8"/>
      <c r="G1" s="8"/>
    </row>
    <row r="2" spans="2:8" ht="43.5" customHeight="1">
      <c r="B2" s="8"/>
      <c r="C2" s="8"/>
      <c r="D2" s="8"/>
      <c r="E2" s="8"/>
      <c r="F2" s="8"/>
      <c r="G2" s="8"/>
    </row>
    <row r="3" spans="2:8" ht="21">
      <c r="B3" s="160" t="s">
        <v>76</v>
      </c>
      <c r="C3" s="160"/>
      <c r="D3" s="160"/>
      <c r="E3" s="160"/>
      <c r="F3" s="160"/>
      <c r="G3" s="160"/>
    </row>
    <row r="4" spans="2:8" ht="21">
      <c r="B4" s="160" t="s">
        <v>388</v>
      </c>
      <c r="C4" s="160"/>
      <c r="D4" s="160"/>
      <c r="E4" s="160"/>
      <c r="F4" s="160"/>
      <c r="G4" s="160"/>
    </row>
    <row r="5" spans="2:8">
      <c r="B5" s="161" t="s">
        <v>26</v>
      </c>
      <c r="C5" s="161"/>
      <c r="D5" s="161"/>
      <c r="E5" s="161"/>
      <c r="F5" s="161"/>
      <c r="G5" s="161"/>
      <c r="H5" s="50"/>
    </row>
    <row r="6" spans="2:8">
      <c r="B6" s="161" t="s">
        <v>1</v>
      </c>
      <c r="C6" s="161"/>
      <c r="D6" s="161"/>
      <c r="E6" s="161"/>
      <c r="F6" s="161"/>
      <c r="G6" s="161"/>
      <c r="H6" s="50"/>
    </row>
    <row r="7" spans="2:8" ht="16.5" customHeight="1" thickBot="1">
      <c r="B7" s="48"/>
      <c r="C7" s="48"/>
      <c r="D7" s="48"/>
      <c r="E7" s="48"/>
      <c r="F7" s="48"/>
      <c r="G7" s="48"/>
      <c r="H7" s="50"/>
    </row>
    <row r="8" spans="2:8" ht="28.5" customHeight="1">
      <c r="B8" s="438" t="s">
        <v>392</v>
      </c>
      <c r="C8" s="439"/>
      <c r="D8" s="440"/>
      <c r="E8" s="441" t="s">
        <v>391</v>
      </c>
      <c r="F8" s="442"/>
      <c r="G8" s="443"/>
      <c r="H8" s="50"/>
    </row>
    <row r="9" spans="2:8" s="51" customFormat="1" ht="19.5" customHeight="1">
      <c r="B9" s="426" t="s">
        <v>2</v>
      </c>
      <c r="C9" s="427"/>
      <c r="D9" s="430"/>
      <c r="E9" s="431" t="s">
        <v>5</v>
      </c>
      <c r="F9" s="428"/>
      <c r="G9" s="429"/>
    </row>
    <row r="10" spans="2:8" ht="15" customHeight="1">
      <c r="B10" s="52" t="s">
        <v>4</v>
      </c>
      <c r="C10" s="432" t="str">
        <f>'01- Residential'!C13</f>
        <v xml:space="preserve">سيد فياض بن علي - Syed Fayyaz ali </v>
      </c>
      <c r="D10" s="433"/>
      <c r="E10" s="433"/>
      <c r="F10" s="434"/>
      <c r="G10" s="53" t="s">
        <v>3</v>
      </c>
      <c r="H10" s="51"/>
    </row>
    <row r="11" spans="2:8" ht="15" customHeight="1">
      <c r="B11" s="426" t="s">
        <v>7</v>
      </c>
      <c r="C11" s="427"/>
      <c r="D11" s="430"/>
      <c r="E11" s="431" t="s">
        <v>6</v>
      </c>
      <c r="F11" s="428"/>
      <c r="G11" s="429"/>
      <c r="H11" s="51"/>
    </row>
    <row r="12" spans="2:8" ht="15" customHeight="1">
      <c r="B12" s="52" t="s">
        <v>39</v>
      </c>
      <c r="C12" s="435" t="str">
        <f>'01- Residential'!C15</f>
        <v>سكني  Residential</v>
      </c>
      <c r="D12" s="436"/>
      <c r="E12" s="436"/>
      <c r="F12" s="437"/>
      <c r="G12" s="53" t="s">
        <v>27</v>
      </c>
      <c r="H12" s="51"/>
    </row>
    <row r="13" spans="2:8" ht="15" customHeight="1">
      <c r="B13" s="52" t="s">
        <v>4</v>
      </c>
      <c r="C13" s="423" t="str">
        <f>'01- Residential'!C16</f>
        <v>Ljina Sultan Sulaiman AlMahrouqi</v>
      </c>
      <c r="D13" s="424"/>
      <c r="E13" s="424"/>
      <c r="F13" s="425"/>
      <c r="G13" s="53" t="s">
        <v>28</v>
      </c>
      <c r="H13" s="51"/>
    </row>
    <row r="14" spans="2:8" ht="15" customHeight="1">
      <c r="B14" s="52" t="s">
        <v>9</v>
      </c>
      <c r="C14" s="423">
        <f>'01- Residential'!C17</f>
        <v>5640721</v>
      </c>
      <c r="D14" s="424"/>
      <c r="E14" s="424"/>
      <c r="F14" s="425"/>
      <c r="G14" s="54" t="s">
        <v>8</v>
      </c>
      <c r="H14" s="51"/>
    </row>
    <row r="15" spans="2:8">
      <c r="B15" s="426" t="s">
        <v>300</v>
      </c>
      <c r="C15" s="427"/>
      <c r="D15" s="427"/>
      <c r="E15" s="428" t="s">
        <v>301</v>
      </c>
      <c r="F15" s="428"/>
      <c r="G15" s="429"/>
    </row>
    <row r="16" spans="2:8" ht="15" customHeight="1">
      <c r="B16" s="52" t="s">
        <v>13</v>
      </c>
      <c r="C16" s="423" t="str">
        <f>'01- Residential'!C23</f>
        <v>MQ Plot 369, Building 5240</v>
      </c>
      <c r="D16" s="424"/>
      <c r="E16" s="424"/>
      <c r="F16" s="425"/>
      <c r="G16" s="53" t="s">
        <v>24</v>
      </c>
    </row>
    <row r="17" spans="2:7" ht="16.5" thickBot="1">
      <c r="B17" s="52" t="s">
        <v>12</v>
      </c>
      <c r="C17" s="423">
        <f>'01- Residential'!C26</f>
        <v>301</v>
      </c>
      <c r="D17" s="424"/>
      <c r="E17" s="424"/>
      <c r="F17" s="425"/>
      <c r="G17" s="53" t="s">
        <v>25</v>
      </c>
    </row>
    <row r="18" spans="2:7" ht="23.25" customHeight="1" thickBot="1">
      <c r="B18" s="418" t="s">
        <v>306</v>
      </c>
      <c r="C18" s="419"/>
      <c r="D18" s="419"/>
      <c r="E18" s="420" t="s">
        <v>307</v>
      </c>
      <c r="F18" s="421"/>
      <c r="G18" s="422"/>
    </row>
    <row r="19" spans="2:7" ht="30" customHeight="1" thickBot="1">
      <c r="B19" s="400" t="s">
        <v>308</v>
      </c>
      <c r="C19" s="402" t="s">
        <v>309</v>
      </c>
      <c r="D19" s="402" t="s">
        <v>310</v>
      </c>
      <c r="E19" s="404"/>
      <c r="F19" s="405" t="s">
        <v>311</v>
      </c>
      <c r="G19" s="405" t="s">
        <v>312</v>
      </c>
    </row>
    <row r="20" spans="2:7" ht="26.25" thickBot="1">
      <c r="B20" s="401"/>
      <c r="C20" s="403"/>
      <c r="D20" s="57" t="s">
        <v>313</v>
      </c>
      <c r="E20" s="58" t="s">
        <v>314</v>
      </c>
      <c r="F20" s="406"/>
      <c r="G20" s="406"/>
    </row>
    <row r="21" spans="2:7">
      <c r="B21" s="59" t="s">
        <v>315</v>
      </c>
      <c r="C21" s="59"/>
      <c r="D21" s="60"/>
      <c r="E21" s="61"/>
      <c r="F21" s="62"/>
      <c r="G21" s="63" t="s">
        <v>316</v>
      </c>
    </row>
    <row r="22" spans="2:7">
      <c r="B22" s="64" t="s">
        <v>317</v>
      </c>
      <c r="C22" s="64"/>
      <c r="D22" s="65"/>
      <c r="E22" s="66"/>
      <c r="F22" s="67"/>
      <c r="G22" s="68" t="s">
        <v>318</v>
      </c>
    </row>
    <row r="23" spans="2:7">
      <c r="B23" s="64" t="s">
        <v>319</v>
      </c>
      <c r="C23" s="64"/>
      <c r="D23" s="65"/>
      <c r="E23" s="66"/>
      <c r="F23" s="67"/>
      <c r="G23" s="68" t="s">
        <v>320</v>
      </c>
    </row>
    <row r="24" spans="2:7">
      <c r="B24" s="64" t="s">
        <v>321</v>
      </c>
      <c r="C24" s="64"/>
      <c r="D24" s="65"/>
      <c r="E24" s="66"/>
      <c r="F24" s="67"/>
      <c r="G24" s="68" t="s">
        <v>322</v>
      </c>
    </row>
    <row r="25" spans="2:7">
      <c r="B25" s="64" t="s">
        <v>323</v>
      </c>
      <c r="C25" s="64"/>
      <c r="D25" s="65"/>
      <c r="E25" s="66"/>
      <c r="F25" s="67"/>
      <c r="G25" s="68" t="s">
        <v>324</v>
      </c>
    </row>
    <row r="26" spans="2:7">
      <c r="B26" s="64" t="s">
        <v>325</v>
      </c>
      <c r="C26" s="64"/>
      <c r="D26" s="65"/>
      <c r="E26" s="66"/>
      <c r="F26" s="67"/>
      <c r="G26" s="68" t="s">
        <v>326</v>
      </c>
    </row>
    <row r="27" spans="2:7">
      <c r="B27" s="64" t="s">
        <v>327</v>
      </c>
      <c r="C27" s="64"/>
      <c r="D27" s="65"/>
      <c r="E27" s="66"/>
      <c r="F27" s="67"/>
      <c r="G27" s="68" t="s">
        <v>328</v>
      </c>
    </row>
    <row r="28" spans="2:7">
      <c r="B28" s="64" t="s">
        <v>329</v>
      </c>
      <c r="C28" s="64"/>
      <c r="D28" s="65"/>
      <c r="E28" s="66"/>
      <c r="F28" s="67"/>
      <c r="G28" s="68" t="s">
        <v>330</v>
      </c>
    </row>
    <row r="29" spans="2:7">
      <c r="B29" s="64" t="s">
        <v>331</v>
      </c>
      <c r="C29" s="64"/>
      <c r="D29" s="65"/>
      <c r="E29" s="66"/>
      <c r="F29" s="67"/>
      <c r="G29" s="68" t="s">
        <v>332</v>
      </c>
    </row>
    <row r="30" spans="2:7">
      <c r="B30" s="64" t="s">
        <v>333</v>
      </c>
      <c r="C30" s="64"/>
      <c r="D30" s="65"/>
      <c r="E30" s="66"/>
      <c r="F30" s="67"/>
      <c r="G30" s="68" t="s">
        <v>334</v>
      </c>
    </row>
    <row r="31" spans="2:7">
      <c r="B31" s="64" t="s">
        <v>335</v>
      </c>
      <c r="C31" s="64"/>
      <c r="D31" s="65"/>
      <c r="E31" s="66"/>
      <c r="F31" s="67"/>
      <c r="G31" s="68" t="s">
        <v>336</v>
      </c>
    </row>
    <row r="32" spans="2:7">
      <c r="B32" s="64" t="s">
        <v>337</v>
      </c>
      <c r="C32" s="64"/>
      <c r="D32" s="65"/>
      <c r="E32" s="66"/>
      <c r="F32" s="67"/>
      <c r="G32" s="68" t="s">
        <v>338</v>
      </c>
    </row>
    <row r="33" spans="2:7">
      <c r="B33" s="64" t="s">
        <v>339</v>
      </c>
      <c r="C33" s="64"/>
      <c r="D33" s="65"/>
      <c r="E33" s="66"/>
      <c r="F33" s="67"/>
      <c r="G33" s="68" t="s">
        <v>340</v>
      </c>
    </row>
    <row r="34" spans="2:7" ht="16.5" thickBot="1">
      <c r="B34" s="69" t="s">
        <v>341</v>
      </c>
      <c r="C34" s="69"/>
      <c r="D34" s="70"/>
      <c r="E34" s="71"/>
      <c r="F34" s="72"/>
      <c r="G34" s="73" t="s">
        <v>342</v>
      </c>
    </row>
    <row r="35" spans="2:7" ht="17.25" customHeight="1" thickBot="1">
      <c r="B35" s="74" t="s">
        <v>0</v>
      </c>
      <c r="C35" s="75"/>
      <c r="D35" s="75"/>
      <c r="E35" s="75"/>
      <c r="F35" s="75"/>
      <c r="G35" s="76" t="s">
        <v>36</v>
      </c>
    </row>
    <row r="36" spans="2:7" s="77" customFormat="1" ht="17.25" customHeight="1">
      <c r="B36" s="407" t="s">
        <v>343</v>
      </c>
      <c r="C36" s="408"/>
      <c r="D36" s="408"/>
      <c r="E36" s="408"/>
      <c r="F36" s="408"/>
      <c r="G36" s="409"/>
    </row>
    <row r="37" spans="2:7" s="77" customFormat="1" ht="17.25" customHeight="1">
      <c r="B37" s="410" t="s">
        <v>343</v>
      </c>
      <c r="C37" s="411"/>
      <c r="D37" s="411"/>
      <c r="E37" s="411"/>
      <c r="F37" s="411"/>
      <c r="G37" s="412"/>
    </row>
    <row r="38" spans="2:7" s="77" customFormat="1" ht="17.25" customHeight="1">
      <c r="B38" s="410" t="s">
        <v>343</v>
      </c>
      <c r="C38" s="411"/>
      <c r="D38" s="411"/>
      <c r="E38" s="411"/>
      <c r="F38" s="411"/>
      <c r="G38" s="412"/>
    </row>
    <row r="39" spans="2:7" s="77" customFormat="1" ht="17.25" customHeight="1">
      <c r="B39" s="410" t="s">
        <v>343</v>
      </c>
      <c r="C39" s="411"/>
      <c r="D39" s="411"/>
      <c r="E39" s="411"/>
      <c r="F39" s="411"/>
      <c r="G39" s="412"/>
    </row>
    <row r="40" spans="2:7" s="77" customFormat="1" ht="17.25" customHeight="1" thickBot="1">
      <c r="B40" s="78"/>
      <c r="C40" s="79"/>
      <c r="D40" s="79"/>
      <c r="E40" s="79"/>
      <c r="F40" s="79"/>
      <c r="G40" s="80"/>
    </row>
    <row r="41" spans="2:7" ht="16.5" thickBot="1">
      <c r="B41" s="413" t="s">
        <v>344</v>
      </c>
      <c r="C41" s="414"/>
      <c r="D41" s="414"/>
      <c r="E41" s="415" t="s">
        <v>345</v>
      </c>
      <c r="F41" s="416"/>
      <c r="G41" s="417"/>
    </row>
    <row r="42" spans="2:7" ht="53.25" customHeight="1" thickBot="1">
      <c r="B42" s="395" t="s">
        <v>394</v>
      </c>
      <c r="C42" s="396"/>
      <c r="D42" s="396"/>
      <c r="E42" s="397" t="s">
        <v>393</v>
      </c>
      <c r="F42" s="398"/>
      <c r="G42" s="399"/>
    </row>
    <row r="49" spans="2:7">
      <c r="B49" s="81"/>
      <c r="C49" s="81"/>
      <c r="D49" s="81"/>
      <c r="E49" s="81"/>
      <c r="F49" s="82"/>
      <c r="G49" s="83"/>
    </row>
    <row r="50" spans="2:7">
      <c r="B50" s="81"/>
      <c r="C50" s="81"/>
      <c r="D50" s="81"/>
      <c r="E50" s="81"/>
      <c r="F50" s="82"/>
      <c r="G50" s="83"/>
    </row>
    <row r="51" spans="2:7">
      <c r="B51" s="81"/>
      <c r="C51" s="81"/>
      <c r="D51" s="81"/>
      <c r="E51" s="81"/>
      <c r="F51" s="82"/>
      <c r="G51" s="83"/>
    </row>
    <row r="52" spans="2:7">
      <c r="B52" s="81"/>
      <c r="C52" s="81"/>
      <c r="D52" s="81"/>
      <c r="E52" s="81"/>
      <c r="F52" s="82"/>
      <c r="G52" s="83"/>
    </row>
    <row r="53" spans="2:7">
      <c r="B53" s="81"/>
      <c r="C53" s="81"/>
      <c r="D53" s="81"/>
      <c r="E53" s="81"/>
      <c r="F53" s="82"/>
      <c r="G53" s="83"/>
    </row>
    <row r="54" spans="2:7">
      <c r="B54" s="81"/>
      <c r="C54" s="81"/>
      <c r="D54" s="81"/>
      <c r="E54" s="81"/>
      <c r="F54" s="82"/>
      <c r="G54" s="83"/>
    </row>
    <row r="55" spans="2:7">
      <c r="B55" s="81"/>
      <c r="C55" s="81"/>
      <c r="D55" s="81"/>
      <c r="E55" s="81"/>
      <c r="F55" s="82"/>
      <c r="G55" s="83"/>
    </row>
    <row r="56" spans="2:7">
      <c r="B56" s="81"/>
      <c r="C56" s="81"/>
      <c r="D56" s="81"/>
      <c r="E56" s="81"/>
      <c r="F56" s="82"/>
      <c r="G56" s="83"/>
    </row>
    <row r="57" spans="2:7">
      <c r="B57" s="81"/>
      <c r="C57" s="81"/>
      <c r="D57" s="81"/>
      <c r="E57" s="81"/>
      <c r="F57" s="82"/>
      <c r="G57" s="83"/>
    </row>
    <row r="58" spans="2:7">
      <c r="B58" s="81"/>
      <c r="C58" s="81"/>
      <c r="D58" s="81"/>
      <c r="E58" s="81"/>
      <c r="F58" s="82"/>
      <c r="G58" s="83"/>
    </row>
    <row r="59" spans="2:7">
      <c r="B59" s="81"/>
      <c r="C59" s="81"/>
      <c r="D59" s="81"/>
      <c r="E59" s="81"/>
      <c r="F59" s="82"/>
      <c r="G59" s="83"/>
    </row>
    <row r="60" spans="2:7">
      <c r="B60" s="84"/>
      <c r="C60" s="84"/>
      <c r="D60" s="84"/>
      <c r="E60" s="84"/>
      <c r="F60" s="82"/>
      <c r="G60" s="83"/>
    </row>
    <row r="61" spans="2:7">
      <c r="B61" s="84"/>
      <c r="C61" s="84"/>
      <c r="D61" s="84"/>
      <c r="E61" s="84"/>
      <c r="F61" s="82"/>
      <c r="G61" s="83"/>
    </row>
    <row r="62" spans="2:7">
      <c r="B62" s="84"/>
      <c r="C62" s="84"/>
      <c r="D62" s="84"/>
      <c r="E62" s="84"/>
      <c r="F62" s="82"/>
      <c r="G62" s="83"/>
    </row>
    <row r="63" spans="2:7">
      <c r="B63" s="8"/>
      <c r="C63" s="8"/>
      <c r="D63" s="8"/>
      <c r="E63" s="8"/>
      <c r="F63" s="85"/>
      <c r="G63" s="86"/>
    </row>
    <row r="64" spans="2:7">
      <c r="F64" s="87"/>
      <c r="G64" s="88"/>
    </row>
    <row r="65" spans="6:7">
      <c r="F65" s="87"/>
      <c r="G65" s="88"/>
    </row>
    <row r="66" spans="6:7">
      <c r="F66" s="87"/>
      <c r="G66" s="88"/>
    </row>
    <row r="67" spans="6:7">
      <c r="F67" s="87"/>
      <c r="G67" s="88"/>
    </row>
    <row r="68" spans="6:7">
      <c r="F68" s="87"/>
      <c r="G68" s="88"/>
    </row>
    <row r="69" spans="6:7">
      <c r="F69" s="87"/>
      <c r="G69" s="88"/>
    </row>
    <row r="70" spans="6:7">
      <c r="F70" s="87"/>
      <c r="G70" s="88"/>
    </row>
    <row r="71" spans="6:7">
      <c r="F71" s="87"/>
      <c r="G71" s="88"/>
    </row>
    <row r="72" spans="6:7">
      <c r="F72" s="87"/>
      <c r="G72" s="88"/>
    </row>
  </sheetData>
  <sheetProtection sheet="1" objects="1" formatCells="0" formatColumns="0" formatRows="0" insertColumns="0" insertRows="0" insertHyperlinks="0" deleteColumns="0" deleteRows="0" sort="0" autoFilter="0" pivotTables="0"/>
  <mergeCells count="33">
    <mergeCell ref="B3:G3"/>
    <mergeCell ref="B4:G4"/>
    <mergeCell ref="B5:G5"/>
    <mergeCell ref="B6:G6"/>
    <mergeCell ref="B8:D8"/>
    <mergeCell ref="E8:G8"/>
    <mergeCell ref="B9:D9"/>
    <mergeCell ref="E9:G9"/>
    <mergeCell ref="C10:F10"/>
    <mergeCell ref="C12:F12"/>
    <mergeCell ref="B11:D11"/>
    <mergeCell ref="E11:G11"/>
    <mergeCell ref="B18:D18"/>
    <mergeCell ref="E18:G18"/>
    <mergeCell ref="C17:F17"/>
    <mergeCell ref="C13:F13"/>
    <mergeCell ref="C14:F14"/>
    <mergeCell ref="C16:F16"/>
    <mergeCell ref="B15:D15"/>
    <mergeCell ref="E15:G15"/>
    <mergeCell ref="B42:D42"/>
    <mergeCell ref="E42:G42"/>
    <mergeCell ref="B19:B20"/>
    <mergeCell ref="C19:C20"/>
    <mergeCell ref="D19:E19"/>
    <mergeCell ref="F19:F20"/>
    <mergeCell ref="G19:G20"/>
    <mergeCell ref="B36:G36"/>
    <mergeCell ref="B37:G37"/>
    <mergeCell ref="B38:G38"/>
    <mergeCell ref="B39:G39"/>
    <mergeCell ref="B41:D41"/>
    <mergeCell ref="E41:G41"/>
  </mergeCells>
  <printOptions horizontalCentered="1"/>
  <pageMargins left="0.39370078740157483" right="0.39370078740157483" top="0" bottom="1.1811023622047245" header="0.31496062992125984" footer="0.39370078740157483"/>
  <pageSetup paperSize="9" scale="96" orientation="portrait" r:id="rId1"/>
  <headerFooter>
    <oddFooter>&amp;Lتوقيع المستأجر   Tenant signature&amp;C&amp;P&amp;D - &amp;P&amp;Rتوقيع المؤجر Landlord signature</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87"/>
  <sheetViews>
    <sheetView topLeftCell="A35" zoomScale="130" zoomScaleNormal="130" workbookViewId="0">
      <selection activeCell="D12" sqref="D12:F12"/>
    </sheetView>
  </sheetViews>
  <sheetFormatPr defaultColWidth="8.85546875" defaultRowHeight="15.75"/>
  <cols>
    <col min="1" max="1" width="24.85546875" style="10" customWidth="1"/>
    <col min="2" max="2" width="14" style="10" customWidth="1"/>
    <col min="3" max="4" width="6.7109375" style="10" customWidth="1"/>
    <col min="5" max="5" width="14" style="10" customWidth="1"/>
    <col min="6" max="6" width="24.85546875" style="10" customWidth="1"/>
    <col min="7" max="16384" width="8.85546875" style="49"/>
  </cols>
  <sheetData>
    <row r="1" spans="1:7">
      <c r="A1" s="8"/>
      <c r="B1" s="8"/>
      <c r="C1" s="8"/>
      <c r="D1" s="8"/>
      <c r="E1" s="8"/>
      <c r="F1" s="8"/>
    </row>
    <row r="2" spans="1:7">
      <c r="A2" s="8"/>
      <c r="B2" s="8"/>
      <c r="C2" s="8"/>
      <c r="D2" s="8"/>
      <c r="E2" s="8"/>
      <c r="F2" s="8"/>
    </row>
    <row r="3" spans="1:7" ht="43.5" customHeight="1">
      <c r="A3" s="8"/>
      <c r="B3" s="8"/>
      <c r="C3" s="8"/>
      <c r="D3" s="8"/>
      <c r="E3" s="8"/>
      <c r="F3" s="8"/>
    </row>
    <row r="4" spans="1:7" ht="21">
      <c r="A4" s="160" t="s">
        <v>76</v>
      </c>
      <c r="B4" s="160"/>
      <c r="C4" s="160"/>
      <c r="D4" s="160"/>
      <c r="E4" s="160"/>
      <c r="F4" s="160"/>
    </row>
    <row r="5" spans="1:7" ht="21">
      <c r="A5" s="160" t="s">
        <v>388</v>
      </c>
      <c r="B5" s="160"/>
      <c r="C5" s="160"/>
      <c r="D5" s="160"/>
      <c r="E5" s="160"/>
      <c r="F5" s="160"/>
    </row>
    <row r="6" spans="1:7">
      <c r="A6" s="161" t="s">
        <v>26</v>
      </c>
      <c r="B6" s="161"/>
      <c r="C6" s="161"/>
      <c r="D6" s="161"/>
      <c r="E6" s="161"/>
      <c r="F6" s="161"/>
      <c r="G6" s="50"/>
    </row>
    <row r="7" spans="1:7">
      <c r="A7" s="161" t="s">
        <v>1</v>
      </c>
      <c r="B7" s="161"/>
      <c r="C7" s="161"/>
      <c r="D7" s="161"/>
      <c r="E7" s="161"/>
      <c r="F7" s="161"/>
      <c r="G7" s="50"/>
    </row>
    <row r="8" spans="1:7" ht="6.75" customHeight="1" thickBot="1">
      <c r="A8" s="48"/>
      <c r="B8" s="48"/>
      <c r="C8" s="48"/>
      <c r="D8" s="48"/>
      <c r="E8" s="48"/>
      <c r="F8" s="48"/>
      <c r="G8" s="50"/>
    </row>
    <row r="9" spans="1:7" ht="28.5" customHeight="1">
      <c r="A9" s="438" t="s">
        <v>396</v>
      </c>
      <c r="B9" s="439"/>
      <c r="C9" s="440"/>
      <c r="D9" s="441" t="s">
        <v>395</v>
      </c>
      <c r="E9" s="442"/>
      <c r="F9" s="443"/>
      <c r="G9" s="50"/>
    </row>
    <row r="10" spans="1:7" s="51" customFormat="1" ht="19.5" customHeight="1">
      <c r="A10" s="426" t="s">
        <v>2</v>
      </c>
      <c r="B10" s="427"/>
      <c r="C10" s="430"/>
      <c r="D10" s="431" t="s">
        <v>5</v>
      </c>
      <c r="E10" s="428"/>
      <c r="F10" s="429"/>
    </row>
    <row r="11" spans="1:7" ht="15" customHeight="1">
      <c r="A11" s="52" t="s">
        <v>4</v>
      </c>
      <c r="B11" s="432" t="s">
        <v>50</v>
      </c>
      <c r="C11" s="433"/>
      <c r="D11" s="433"/>
      <c r="E11" s="434"/>
      <c r="F11" s="53" t="s">
        <v>3</v>
      </c>
      <c r="G11" s="51"/>
    </row>
    <row r="12" spans="1:7" ht="15" customHeight="1">
      <c r="A12" s="426" t="s">
        <v>7</v>
      </c>
      <c r="B12" s="427"/>
      <c r="C12" s="430"/>
      <c r="D12" s="431" t="s">
        <v>6</v>
      </c>
      <c r="E12" s="428"/>
      <c r="F12" s="429"/>
      <c r="G12" s="51"/>
    </row>
    <row r="13" spans="1:7" ht="15" customHeight="1">
      <c r="A13" s="52" t="s">
        <v>39</v>
      </c>
      <c r="B13" s="435" t="str">
        <f>'01- Residential'!C15</f>
        <v>سكني  Residential</v>
      </c>
      <c r="C13" s="436"/>
      <c r="D13" s="436"/>
      <c r="E13" s="437"/>
      <c r="F13" s="53" t="s">
        <v>27</v>
      </c>
      <c r="G13" s="51"/>
    </row>
    <row r="14" spans="1:7" ht="15" customHeight="1">
      <c r="A14" s="52" t="s">
        <v>4</v>
      </c>
      <c r="B14" s="423" t="str">
        <f>'01- Residential'!C16</f>
        <v>Ljina Sultan Sulaiman AlMahrouqi</v>
      </c>
      <c r="C14" s="424"/>
      <c r="D14" s="424"/>
      <c r="E14" s="425"/>
      <c r="F14" s="53" t="s">
        <v>28</v>
      </c>
      <c r="G14" s="51"/>
    </row>
    <row r="15" spans="1:7" ht="15" customHeight="1">
      <c r="A15" s="52" t="s">
        <v>9</v>
      </c>
      <c r="B15" s="423">
        <f>'01- Residential'!C17</f>
        <v>5640721</v>
      </c>
      <c r="C15" s="424"/>
      <c r="D15" s="424"/>
      <c r="E15" s="425"/>
      <c r="F15" s="54" t="s">
        <v>8</v>
      </c>
      <c r="G15" s="51"/>
    </row>
    <row r="16" spans="1:7">
      <c r="A16" s="426" t="s">
        <v>300</v>
      </c>
      <c r="B16" s="427"/>
      <c r="C16" s="427"/>
      <c r="D16" s="428" t="s">
        <v>301</v>
      </c>
      <c r="E16" s="428"/>
      <c r="F16" s="429"/>
    </row>
    <row r="17" spans="1:6" ht="15" customHeight="1">
      <c r="A17" s="52" t="s">
        <v>13</v>
      </c>
      <c r="B17" s="423" t="str">
        <f>'01- Residential'!C23</f>
        <v>MQ Plot 369, Building 5240</v>
      </c>
      <c r="C17" s="424"/>
      <c r="D17" s="424"/>
      <c r="E17" s="425"/>
      <c r="F17" s="53" t="s">
        <v>24</v>
      </c>
    </row>
    <row r="18" spans="1:6">
      <c r="A18" s="52" t="s">
        <v>12</v>
      </c>
      <c r="B18" s="423">
        <f>'01- Residential'!C26</f>
        <v>301</v>
      </c>
      <c r="C18" s="424"/>
      <c r="D18" s="424"/>
      <c r="E18" s="425"/>
      <c r="F18" s="53" t="s">
        <v>25</v>
      </c>
    </row>
    <row r="19" spans="1:6" ht="15" customHeight="1">
      <c r="A19" s="52" t="s">
        <v>40</v>
      </c>
      <c r="B19" s="423" t="s">
        <v>347</v>
      </c>
      <c r="C19" s="424"/>
      <c r="D19" s="424"/>
      <c r="E19" s="425"/>
      <c r="F19" s="53" t="s">
        <v>30</v>
      </c>
    </row>
    <row r="20" spans="1:6" ht="15" customHeight="1">
      <c r="A20" s="52" t="s">
        <v>41</v>
      </c>
      <c r="B20" s="423">
        <v>90508853</v>
      </c>
      <c r="C20" s="424"/>
      <c r="D20" s="424"/>
      <c r="E20" s="425"/>
      <c r="F20" s="53" t="s">
        <v>32</v>
      </c>
    </row>
    <row r="21" spans="1:6" ht="15" customHeight="1">
      <c r="A21" s="426" t="s">
        <v>348</v>
      </c>
      <c r="B21" s="427"/>
      <c r="C21" s="430"/>
      <c r="D21" s="431" t="s">
        <v>349</v>
      </c>
      <c r="E21" s="428"/>
      <c r="F21" s="429"/>
    </row>
    <row r="22" spans="1:6" ht="15" customHeight="1">
      <c r="A22" s="52" t="s">
        <v>350</v>
      </c>
      <c r="B22" s="465">
        <v>42370</v>
      </c>
      <c r="C22" s="466"/>
      <c r="D22" s="466"/>
      <c r="E22" s="467"/>
      <c r="F22" s="53" t="s">
        <v>351</v>
      </c>
    </row>
    <row r="23" spans="1:6" ht="31.5">
      <c r="A23" s="52" t="s">
        <v>302</v>
      </c>
      <c r="B23" s="459">
        <v>0</v>
      </c>
      <c r="C23" s="460"/>
      <c r="D23" s="460"/>
      <c r="E23" s="461"/>
      <c r="F23" s="53" t="s">
        <v>31</v>
      </c>
    </row>
    <row r="24" spans="1:6">
      <c r="A24" s="52" t="s">
        <v>303</v>
      </c>
      <c r="B24" s="459">
        <v>0</v>
      </c>
      <c r="C24" s="460"/>
      <c r="D24" s="460"/>
      <c r="E24" s="461"/>
      <c r="F24" s="53" t="s">
        <v>304</v>
      </c>
    </row>
    <row r="25" spans="1:6">
      <c r="A25" s="52" t="s">
        <v>305</v>
      </c>
      <c r="B25" s="459">
        <v>0</v>
      </c>
      <c r="C25" s="460"/>
      <c r="D25" s="460"/>
      <c r="E25" s="461"/>
      <c r="F25" s="53" t="s">
        <v>33</v>
      </c>
    </row>
    <row r="26" spans="1:6" ht="16.5" thickBot="1">
      <c r="A26" s="55" t="s">
        <v>303</v>
      </c>
      <c r="B26" s="462">
        <v>0</v>
      </c>
      <c r="C26" s="463"/>
      <c r="D26" s="463"/>
      <c r="E26" s="464"/>
      <c r="F26" s="56" t="s">
        <v>304</v>
      </c>
    </row>
    <row r="27" spans="1:6" ht="23.25" customHeight="1" thickBot="1">
      <c r="A27" s="418" t="s">
        <v>306</v>
      </c>
      <c r="B27" s="419"/>
      <c r="C27" s="419"/>
      <c r="D27" s="420" t="s">
        <v>307</v>
      </c>
      <c r="E27" s="421"/>
      <c r="F27" s="422"/>
    </row>
    <row r="28" spans="1:6" ht="30" customHeight="1" thickBot="1">
      <c r="A28" s="400" t="s">
        <v>308</v>
      </c>
      <c r="B28" s="402" t="s">
        <v>309</v>
      </c>
      <c r="C28" s="402" t="s">
        <v>310</v>
      </c>
      <c r="D28" s="404"/>
      <c r="E28" s="405" t="s">
        <v>311</v>
      </c>
      <c r="F28" s="405" t="s">
        <v>312</v>
      </c>
    </row>
    <row r="29" spans="1:6" ht="26.25" thickBot="1">
      <c r="A29" s="401"/>
      <c r="B29" s="403"/>
      <c r="C29" s="57" t="s">
        <v>313</v>
      </c>
      <c r="D29" s="58" t="s">
        <v>314</v>
      </c>
      <c r="E29" s="406"/>
      <c r="F29" s="406"/>
    </row>
    <row r="30" spans="1:6" ht="18.95" customHeight="1">
      <c r="A30" s="116" t="s">
        <v>315</v>
      </c>
      <c r="B30" s="116"/>
      <c r="C30" s="117"/>
      <c r="D30" s="118"/>
      <c r="E30" s="119"/>
      <c r="F30" s="120" t="s">
        <v>316</v>
      </c>
    </row>
    <row r="31" spans="1:6" ht="18.95" customHeight="1">
      <c r="A31" s="64" t="s">
        <v>317</v>
      </c>
      <c r="B31" s="64"/>
      <c r="C31" s="65"/>
      <c r="D31" s="66"/>
      <c r="E31" s="67"/>
      <c r="F31" s="68" t="s">
        <v>318</v>
      </c>
    </row>
    <row r="32" spans="1:6" ht="18.95" customHeight="1">
      <c r="A32" s="64" t="s">
        <v>319</v>
      </c>
      <c r="B32" s="64"/>
      <c r="C32" s="65"/>
      <c r="D32" s="66"/>
      <c r="E32" s="67"/>
      <c r="F32" s="68" t="s">
        <v>320</v>
      </c>
    </row>
    <row r="33" spans="1:6" ht="18.95" customHeight="1">
      <c r="A33" s="64" t="s">
        <v>321</v>
      </c>
      <c r="B33" s="64"/>
      <c r="C33" s="65"/>
      <c r="D33" s="66"/>
      <c r="E33" s="67"/>
      <c r="F33" s="68" t="s">
        <v>322</v>
      </c>
    </row>
    <row r="34" spans="1:6" ht="18.95" customHeight="1">
      <c r="A34" s="64" t="s">
        <v>323</v>
      </c>
      <c r="B34" s="64"/>
      <c r="C34" s="65"/>
      <c r="D34" s="66"/>
      <c r="E34" s="67"/>
      <c r="F34" s="68" t="s">
        <v>324</v>
      </c>
    </row>
    <row r="35" spans="1:6" ht="18.95" customHeight="1">
      <c r="A35" s="64" t="s">
        <v>325</v>
      </c>
      <c r="B35" s="64"/>
      <c r="C35" s="65"/>
      <c r="D35" s="66"/>
      <c r="E35" s="67"/>
      <c r="F35" s="68" t="s">
        <v>326</v>
      </c>
    </row>
    <row r="36" spans="1:6" ht="18.95" customHeight="1">
      <c r="A36" s="64" t="s">
        <v>327</v>
      </c>
      <c r="B36" s="64"/>
      <c r="C36" s="65"/>
      <c r="D36" s="66"/>
      <c r="E36" s="67"/>
      <c r="F36" s="68" t="s">
        <v>328</v>
      </c>
    </row>
    <row r="37" spans="1:6" ht="18.95" customHeight="1">
      <c r="A37" s="64" t="s">
        <v>329</v>
      </c>
      <c r="B37" s="64"/>
      <c r="C37" s="65"/>
      <c r="D37" s="66"/>
      <c r="E37" s="67"/>
      <c r="F37" s="68" t="s">
        <v>330</v>
      </c>
    </row>
    <row r="38" spans="1:6" ht="18.95" customHeight="1">
      <c r="A38" s="64" t="s">
        <v>331</v>
      </c>
      <c r="B38" s="64"/>
      <c r="C38" s="65"/>
      <c r="D38" s="66"/>
      <c r="E38" s="67"/>
      <c r="F38" s="68" t="s">
        <v>332</v>
      </c>
    </row>
    <row r="39" spans="1:6" ht="18.95" customHeight="1">
      <c r="A39" s="64" t="s">
        <v>333</v>
      </c>
      <c r="B39" s="64"/>
      <c r="C39" s="65"/>
      <c r="D39" s="66"/>
      <c r="E39" s="67"/>
      <c r="F39" s="68" t="s">
        <v>334</v>
      </c>
    </row>
    <row r="40" spans="1:6" ht="18.95" customHeight="1">
      <c r="A40" s="64" t="s">
        <v>335</v>
      </c>
      <c r="B40" s="64"/>
      <c r="C40" s="65"/>
      <c r="D40" s="66"/>
      <c r="E40" s="67"/>
      <c r="F40" s="68" t="s">
        <v>336</v>
      </c>
    </row>
    <row r="41" spans="1:6" ht="18.95" customHeight="1">
      <c r="A41" s="64" t="s">
        <v>337</v>
      </c>
      <c r="B41" s="64"/>
      <c r="C41" s="65"/>
      <c r="D41" s="66"/>
      <c r="E41" s="67"/>
      <c r="F41" s="68" t="s">
        <v>338</v>
      </c>
    </row>
    <row r="42" spans="1:6" ht="18.95" customHeight="1">
      <c r="A42" s="64" t="s">
        <v>339</v>
      </c>
      <c r="B42" s="64"/>
      <c r="C42" s="65"/>
      <c r="D42" s="66"/>
      <c r="E42" s="67"/>
      <c r="F42" s="68" t="s">
        <v>340</v>
      </c>
    </row>
    <row r="43" spans="1:6" ht="18.95" customHeight="1" thickBot="1">
      <c r="A43" s="121" t="s">
        <v>341</v>
      </c>
      <c r="B43" s="121"/>
      <c r="C43" s="122"/>
      <c r="D43" s="123"/>
      <c r="E43" s="124"/>
      <c r="F43" s="125" t="s">
        <v>342</v>
      </c>
    </row>
    <row r="44" spans="1:6" ht="17.25" customHeight="1" thickBot="1">
      <c r="A44" s="74" t="s">
        <v>0</v>
      </c>
      <c r="B44" s="75"/>
      <c r="C44" s="75"/>
      <c r="D44" s="75"/>
      <c r="E44" s="75"/>
      <c r="F44" s="76" t="s">
        <v>36</v>
      </c>
    </row>
    <row r="45" spans="1:6" s="77" customFormat="1" ht="17.25" customHeight="1">
      <c r="A45" s="407" t="s">
        <v>343</v>
      </c>
      <c r="B45" s="408"/>
      <c r="C45" s="408"/>
      <c r="D45" s="408"/>
      <c r="E45" s="408"/>
      <c r="F45" s="409"/>
    </row>
    <row r="46" spans="1:6" s="77" customFormat="1" ht="17.25" customHeight="1">
      <c r="A46" s="410" t="s">
        <v>343</v>
      </c>
      <c r="B46" s="411"/>
      <c r="C46" s="411"/>
      <c r="D46" s="411"/>
      <c r="E46" s="411"/>
      <c r="F46" s="412"/>
    </row>
    <row r="47" spans="1:6" s="77" customFormat="1" ht="17.25" customHeight="1">
      <c r="A47" s="410" t="s">
        <v>343</v>
      </c>
      <c r="B47" s="411"/>
      <c r="C47" s="411"/>
      <c r="D47" s="411"/>
      <c r="E47" s="411"/>
      <c r="F47" s="412"/>
    </row>
    <row r="48" spans="1:6" s="77" customFormat="1" ht="17.25" customHeight="1">
      <c r="A48" s="410" t="s">
        <v>343</v>
      </c>
      <c r="B48" s="411"/>
      <c r="C48" s="411"/>
      <c r="D48" s="411"/>
      <c r="E48" s="411"/>
      <c r="F48" s="412"/>
    </row>
    <row r="49" spans="1:6" s="77" customFormat="1" ht="17.25" customHeight="1" thickBot="1">
      <c r="A49" s="78"/>
      <c r="B49" s="79"/>
      <c r="C49" s="79"/>
      <c r="D49" s="79"/>
      <c r="E49" s="79"/>
      <c r="F49" s="80"/>
    </row>
    <row r="50" spans="1:6" ht="16.5" thickBot="1">
      <c r="A50" s="413" t="s">
        <v>344</v>
      </c>
      <c r="B50" s="414"/>
      <c r="C50" s="414"/>
      <c r="D50" s="415" t="s">
        <v>345</v>
      </c>
      <c r="E50" s="416"/>
      <c r="F50" s="417"/>
    </row>
    <row r="51" spans="1:6" ht="38.25" customHeight="1">
      <c r="A51" s="454" t="s">
        <v>352</v>
      </c>
      <c r="B51" s="455"/>
      <c r="C51" s="455"/>
      <c r="D51" s="456" t="s">
        <v>353</v>
      </c>
      <c r="E51" s="457"/>
      <c r="F51" s="458"/>
    </row>
    <row r="52" spans="1:6" ht="36.75" customHeight="1">
      <c r="A52" s="449" t="s">
        <v>354</v>
      </c>
      <c r="B52" s="450"/>
      <c r="C52" s="450"/>
      <c r="D52" s="451" t="s">
        <v>355</v>
      </c>
      <c r="E52" s="452"/>
      <c r="F52" s="453"/>
    </row>
    <row r="53" spans="1:6" ht="148.5" customHeight="1">
      <c r="A53" s="449" t="s">
        <v>356</v>
      </c>
      <c r="B53" s="450"/>
      <c r="C53" s="450"/>
      <c r="D53" s="451" t="s">
        <v>357</v>
      </c>
      <c r="E53" s="452"/>
      <c r="F53" s="453"/>
    </row>
    <row r="54" spans="1:6" ht="106.5" customHeight="1">
      <c r="A54" s="449" t="s">
        <v>358</v>
      </c>
      <c r="B54" s="450"/>
      <c r="C54" s="450"/>
      <c r="D54" s="451" t="s">
        <v>359</v>
      </c>
      <c r="E54" s="452"/>
      <c r="F54" s="453"/>
    </row>
    <row r="55" spans="1:6" ht="89.25" customHeight="1">
      <c r="A55" s="449" t="s">
        <v>360</v>
      </c>
      <c r="B55" s="450"/>
      <c r="C55" s="450"/>
      <c r="D55" s="451" t="s">
        <v>361</v>
      </c>
      <c r="E55" s="452"/>
      <c r="F55" s="453"/>
    </row>
    <row r="56" spans="1:6" ht="74.25" customHeight="1">
      <c r="A56" s="449" t="s">
        <v>362</v>
      </c>
      <c r="B56" s="450"/>
      <c r="C56" s="450"/>
      <c r="D56" s="451" t="s">
        <v>363</v>
      </c>
      <c r="E56" s="452"/>
      <c r="F56" s="453"/>
    </row>
    <row r="57" spans="1:6" ht="44.25" customHeight="1" thickBot="1">
      <c r="A57" s="444" t="s">
        <v>364</v>
      </c>
      <c r="B57" s="445"/>
      <c r="C57" s="445"/>
      <c r="D57" s="446" t="s">
        <v>365</v>
      </c>
      <c r="E57" s="447"/>
      <c r="F57" s="448"/>
    </row>
    <row r="64" spans="1:6">
      <c r="A64" s="81"/>
      <c r="B64" s="81"/>
      <c r="C64" s="81"/>
      <c r="D64" s="81"/>
      <c r="E64" s="82"/>
      <c r="F64" s="83"/>
    </row>
    <row r="65" spans="1:6">
      <c r="A65" s="81"/>
      <c r="B65" s="81"/>
      <c r="C65" s="81"/>
      <c r="D65" s="81"/>
      <c r="E65" s="82"/>
      <c r="F65" s="83"/>
    </row>
    <row r="66" spans="1:6">
      <c r="A66" s="81"/>
      <c r="B66" s="81"/>
      <c r="C66" s="81"/>
      <c r="D66" s="81"/>
      <c r="E66" s="82"/>
      <c r="F66" s="83"/>
    </row>
    <row r="67" spans="1:6">
      <c r="A67" s="81"/>
      <c r="B67" s="81"/>
      <c r="C67" s="81"/>
      <c r="D67" s="81"/>
      <c r="E67" s="82"/>
      <c r="F67" s="83"/>
    </row>
    <row r="68" spans="1:6">
      <c r="A68" s="81"/>
      <c r="B68" s="81"/>
      <c r="C68" s="81"/>
      <c r="D68" s="81"/>
      <c r="E68" s="82"/>
      <c r="F68" s="83"/>
    </row>
    <row r="69" spans="1:6">
      <c r="A69" s="81"/>
      <c r="B69" s="81"/>
      <c r="C69" s="81"/>
      <c r="D69" s="81"/>
      <c r="E69" s="82"/>
      <c r="F69" s="83"/>
    </row>
    <row r="70" spans="1:6">
      <c r="A70" s="81"/>
      <c r="B70" s="81"/>
      <c r="C70" s="81"/>
      <c r="D70" s="81"/>
      <c r="E70" s="82"/>
      <c r="F70" s="83"/>
    </row>
    <row r="71" spans="1:6">
      <c r="A71" s="81"/>
      <c r="B71" s="81"/>
      <c r="C71" s="81"/>
      <c r="D71" s="81"/>
      <c r="E71" s="82"/>
      <c r="F71" s="83"/>
    </row>
    <row r="72" spans="1:6">
      <c r="A72" s="81"/>
      <c r="B72" s="81"/>
      <c r="C72" s="81"/>
      <c r="D72" s="81"/>
      <c r="E72" s="82"/>
      <c r="F72" s="83"/>
    </row>
    <row r="73" spans="1:6">
      <c r="A73" s="81"/>
      <c r="B73" s="81"/>
      <c r="C73" s="81"/>
      <c r="D73" s="81"/>
      <c r="E73" s="82"/>
      <c r="F73" s="83"/>
    </row>
    <row r="74" spans="1:6">
      <c r="A74" s="81"/>
      <c r="B74" s="81"/>
      <c r="C74" s="81"/>
      <c r="D74" s="81"/>
      <c r="E74" s="82"/>
      <c r="F74" s="83"/>
    </row>
    <row r="75" spans="1:6">
      <c r="A75" s="84"/>
      <c r="B75" s="84"/>
      <c r="C75" s="84"/>
      <c r="D75" s="84"/>
      <c r="E75" s="82"/>
      <c r="F75" s="83"/>
    </row>
    <row r="76" spans="1:6">
      <c r="A76" s="84"/>
      <c r="B76" s="84"/>
      <c r="C76" s="84"/>
      <c r="D76" s="84"/>
      <c r="E76" s="82"/>
      <c r="F76" s="83"/>
    </row>
    <row r="77" spans="1:6">
      <c r="A77" s="84"/>
      <c r="B77" s="84"/>
      <c r="C77" s="84"/>
      <c r="D77" s="84"/>
      <c r="E77" s="82"/>
      <c r="F77" s="83"/>
    </row>
    <row r="78" spans="1:6">
      <c r="A78" s="8"/>
      <c r="B78" s="8"/>
      <c r="C78" s="8"/>
      <c r="D78" s="8"/>
      <c r="E78" s="85"/>
      <c r="F78" s="86"/>
    </row>
    <row r="79" spans="1:6">
      <c r="E79" s="87"/>
      <c r="F79" s="88"/>
    </row>
    <row r="80" spans="1:6">
      <c r="E80" s="87"/>
      <c r="F80" s="88"/>
    </row>
    <row r="81" spans="5:6">
      <c r="E81" s="87"/>
      <c r="F81" s="88"/>
    </row>
    <row r="82" spans="5:6">
      <c r="E82" s="87"/>
      <c r="F82" s="88"/>
    </row>
    <row r="83" spans="5:6">
      <c r="E83" s="87"/>
      <c r="F83" s="88"/>
    </row>
    <row r="84" spans="5:6">
      <c r="E84" s="87"/>
      <c r="F84" s="88"/>
    </row>
    <row r="85" spans="5:6">
      <c r="E85" s="87"/>
      <c r="F85" s="88"/>
    </row>
    <row r="86" spans="5:6">
      <c r="E86" s="87"/>
      <c r="F86" s="88"/>
    </row>
    <row r="87" spans="5:6">
      <c r="E87" s="87"/>
      <c r="F87" s="88"/>
    </row>
  </sheetData>
  <sheetProtection sheet="1" objects="1" formatCells="0" formatColumns="0" formatRows="0" insertColumns="0" insertRows="0" insertHyperlinks="0" deleteColumns="0" deleteRows="0" sort="0" autoFilter="0" pivotTables="0"/>
  <mergeCells count="54">
    <mergeCell ref="A10:C10"/>
    <mergeCell ref="D10:F10"/>
    <mergeCell ref="B11:E11"/>
    <mergeCell ref="B13:E13"/>
    <mergeCell ref="A4:F4"/>
    <mergeCell ref="A5:F5"/>
    <mergeCell ref="A6:F6"/>
    <mergeCell ref="A7:F7"/>
    <mergeCell ref="A9:C9"/>
    <mergeCell ref="D9:F9"/>
    <mergeCell ref="B24:E24"/>
    <mergeCell ref="B17:E17"/>
    <mergeCell ref="B18:E18"/>
    <mergeCell ref="B19:E19"/>
    <mergeCell ref="B14:E14"/>
    <mergeCell ref="B15:E15"/>
    <mergeCell ref="B20:E20"/>
    <mergeCell ref="A21:C21"/>
    <mergeCell ref="D21:F21"/>
    <mergeCell ref="B22:E22"/>
    <mergeCell ref="B23:E23"/>
    <mergeCell ref="B25:E25"/>
    <mergeCell ref="B26:E26"/>
    <mergeCell ref="A27:C27"/>
    <mergeCell ref="D27:F27"/>
    <mergeCell ref="A28:A29"/>
    <mergeCell ref="B28:B29"/>
    <mergeCell ref="C28:D28"/>
    <mergeCell ref="E28:E29"/>
    <mergeCell ref="F28:F29"/>
    <mergeCell ref="A53:C53"/>
    <mergeCell ref="D53:F53"/>
    <mergeCell ref="A45:F45"/>
    <mergeCell ref="A46:F46"/>
    <mergeCell ref="A47:F47"/>
    <mergeCell ref="A48:F48"/>
    <mergeCell ref="A50:C50"/>
    <mergeCell ref="D50:F50"/>
    <mergeCell ref="A57:C57"/>
    <mergeCell ref="D57:F57"/>
    <mergeCell ref="A12:C12"/>
    <mergeCell ref="D12:F12"/>
    <mergeCell ref="A16:C16"/>
    <mergeCell ref="D16:F16"/>
    <mergeCell ref="A54:C54"/>
    <mergeCell ref="D54:F54"/>
    <mergeCell ref="A55:C55"/>
    <mergeCell ref="D55:F55"/>
    <mergeCell ref="A56:C56"/>
    <mergeCell ref="D56:F56"/>
    <mergeCell ref="A51:C51"/>
    <mergeCell ref="D51:F51"/>
    <mergeCell ref="A52:C52"/>
    <mergeCell ref="D52:F52"/>
  </mergeCells>
  <printOptions horizontalCentered="1"/>
  <pageMargins left="0" right="0.39370078740157483" top="0.39370078740157483" bottom="1.1811023622047245" header="0.39370078740157483" footer="0.39370078740157483"/>
  <pageSetup paperSize="9" scale="95" orientation="portrait" r:id="rId1"/>
  <headerFooter>
    <oddFooter>&amp;Lتوقيع المستأجر   Tenant signature&amp;C&amp;P&amp;D - &amp;P&amp;Rتوقيع المؤجر Landlord signature</oddFooter>
  </headerFooter>
  <rowBreaks count="1" manualBreakCount="1">
    <brk id="43" max="5" man="1"/>
  </rowBreak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E56"/>
  <sheetViews>
    <sheetView topLeftCell="A7" zoomScaleNormal="100" workbookViewId="0">
      <selection activeCell="E21" sqref="E21"/>
    </sheetView>
  </sheetViews>
  <sheetFormatPr defaultRowHeight="20.100000000000001" customHeight="1"/>
  <cols>
    <col min="1" max="1" width="28.140625" style="104" customWidth="1"/>
    <col min="2" max="3" width="18.85546875" style="104" customWidth="1"/>
    <col min="4" max="4" width="28.140625" style="104" customWidth="1"/>
  </cols>
  <sheetData>
    <row r="1" spans="1:5" ht="20.100000000000001" customHeight="1">
      <c r="A1" s="89"/>
      <c r="B1" s="89"/>
      <c r="C1" s="89"/>
      <c r="D1" s="89"/>
    </row>
    <row r="2" spans="1:5" ht="20.100000000000001" customHeight="1">
      <c r="A2" s="89"/>
      <c r="B2" s="89"/>
      <c r="C2" s="89"/>
      <c r="D2" s="89"/>
    </row>
    <row r="3" spans="1:5" ht="20.100000000000001" customHeight="1">
      <c r="A3" s="89"/>
      <c r="B3" s="89"/>
      <c r="C3" s="89"/>
      <c r="D3" s="89"/>
    </row>
    <row r="4" spans="1:5" ht="20.100000000000001" customHeight="1">
      <c r="A4" s="487" t="s">
        <v>76</v>
      </c>
      <c r="B4" s="487"/>
      <c r="C4" s="487"/>
      <c r="D4" s="487"/>
    </row>
    <row r="5" spans="1:5" ht="20.100000000000001" customHeight="1">
      <c r="A5" s="488" t="s">
        <v>388</v>
      </c>
      <c r="B5" s="488"/>
      <c r="C5" s="488"/>
      <c r="D5" s="488"/>
    </row>
    <row r="6" spans="1:5" ht="20.100000000000001" customHeight="1">
      <c r="A6" s="161" t="s">
        <v>366</v>
      </c>
      <c r="B6" s="161"/>
      <c r="C6" s="161"/>
      <c r="D6" s="161"/>
      <c r="E6" s="50"/>
    </row>
    <row r="7" spans="1:5" ht="20.100000000000001" customHeight="1">
      <c r="A7" s="161" t="s">
        <v>1</v>
      </c>
      <c r="B7" s="161"/>
      <c r="C7" s="161"/>
      <c r="D7" s="161"/>
      <c r="E7" s="50"/>
    </row>
    <row r="8" spans="1:5" ht="20.100000000000001" customHeight="1">
      <c r="A8" s="489" t="s">
        <v>367</v>
      </c>
      <c r="B8" s="489"/>
      <c r="C8" s="490" t="s">
        <v>368</v>
      </c>
      <c r="D8" s="490"/>
      <c r="E8" s="50"/>
    </row>
    <row r="9" spans="1:5" ht="20.100000000000001" customHeight="1" thickBot="1">
      <c r="A9" s="491" t="s">
        <v>369</v>
      </c>
      <c r="B9" s="491"/>
      <c r="C9" s="492" t="s">
        <v>370</v>
      </c>
      <c r="D9" s="492"/>
      <c r="E9" s="50"/>
    </row>
    <row r="10" spans="1:5" ht="38.25" customHeight="1">
      <c r="A10" s="493" t="s">
        <v>371</v>
      </c>
      <c r="B10" s="494"/>
      <c r="C10" s="495" t="s">
        <v>372</v>
      </c>
      <c r="D10" s="496"/>
      <c r="E10" s="90"/>
    </row>
    <row r="11" spans="1:5" ht="24.95" customHeight="1" thickBot="1">
      <c r="A11" s="91" t="s">
        <v>15</v>
      </c>
      <c r="B11" s="497">
        <f>'01- Residential'!C11</f>
        <v>20241115892</v>
      </c>
      <c r="C11" s="497"/>
      <c r="D11" s="92" t="s">
        <v>14</v>
      </c>
      <c r="E11" s="90"/>
    </row>
    <row r="12" spans="1:5" ht="24.95" customHeight="1">
      <c r="A12" s="476" t="s">
        <v>7</v>
      </c>
      <c r="B12" s="477"/>
      <c r="C12" s="478" t="s">
        <v>6</v>
      </c>
      <c r="D12" s="479"/>
      <c r="E12" s="93"/>
    </row>
    <row r="13" spans="1:5" ht="24.95" customHeight="1">
      <c r="A13" s="94" t="s">
        <v>4</v>
      </c>
      <c r="B13" s="482" t="str">
        <f>'01- Residential'!C16</f>
        <v>Ljina Sultan Sulaiman AlMahrouqi</v>
      </c>
      <c r="C13" s="474"/>
      <c r="D13" s="95" t="s">
        <v>3</v>
      </c>
      <c r="E13" s="93"/>
    </row>
    <row r="14" spans="1:5" ht="24.95" customHeight="1">
      <c r="A14" s="96" t="s">
        <v>9</v>
      </c>
      <c r="B14" s="474">
        <f>'01- Residential'!C17</f>
        <v>5640721</v>
      </c>
      <c r="C14" s="474"/>
      <c r="D14" s="97" t="s">
        <v>8</v>
      </c>
      <c r="E14" s="93"/>
    </row>
    <row r="15" spans="1:5" ht="24.95" customHeight="1" thickBot="1">
      <c r="A15" s="99" t="s">
        <v>346</v>
      </c>
      <c r="B15" s="475" t="str">
        <f>'01- Residential'!D19</f>
        <v> 91707091</v>
      </c>
      <c r="C15" s="475"/>
      <c r="D15" s="100" t="s">
        <v>23</v>
      </c>
    </row>
    <row r="16" spans="1:5" ht="24.95" customHeight="1">
      <c r="A16" s="483" t="s">
        <v>10</v>
      </c>
      <c r="B16" s="484"/>
      <c r="C16" s="485" t="s">
        <v>11</v>
      </c>
      <c r="D16" s="486"/>
    </row>
    <row r="17" spans="1:4" ht="24.95" customHeight="1">
      <c r="A17" s="96" t="s">
        <v>13</v>
      </c>
      <c r="B17" s="474" t="str">
        <f>'01- Residential'!C23</f>
        <v>MQ Plot 369, Building 5240</v>
      </c>
      <c r="C17" s="474"/>
      <c r="D17" s="98" t="s">
        <v>24</v>
      </c>
    </row>
    <row r="18" spans="1:4" ht="24.95" customHeight="1" thickBot="1">
      <c r="A18" s="99" t="s">
        <v>12</v>
      </c>
      <c r="B18" s="475">
        <f>'01- Residential'!C26</f>
        <v>301</v>
      </c>
      <c r="C18" s="475"/>
      <c r="D18" s="100" t="s">
        <v>25</v>
      </c>
    </row>
    <row r="19" spans="1:4" ht="24.95" customHeight="1">
      <c r="A19" s="476" t="s">
        <v>373</v>
      </c>
      <c r="B19" s="477"/>
      <c r="C19" s="478" t="s">
        <v>374</v>
      </c>
      <c r="D19" s="479"/>
    </row>
    <row r="20" spans="1:4" ht="24.95" customHeight="1" thickBot="1">
      <c r="A20" s="94" t="s">
        <v>375</v>
      </c>
      <c r="B20" s="480" t="s">
        <v>376</v>
      </c>
      <c r="C20" s="481"/>
      <c r="D20" s="95" t="s">
        <v>377</v>
      </c>
    </row>
    <row r="21" spans="1:4" ht="297" customHeight="1" thickBot="1">
      <c r="A21" s="470" t="s">
        <v>378</v>
      </c>
      <c r="B21" s="470"/>
      <c r="C21" s="471" t="s">
        <v>379</v>
      </c>
      <c r="D21" s="471"/>
    </row>
    <row r="22" spans="1:4" ht="184.5" customHeight="1" thickBot="1">
      <c r="A22" s="468" t="s">
        <v>380</v>
      </c>
      <c r="B22" s="468"/>
      <c r="C22" s="472" t="s">
        <v>381</v>
      </c>
      <c r="D22" s="472"/>
    </row>
    <row r="23" spans="1:4" ht="142.5" customHeight="1" thickBot="1">
      <c r="A23" s="468" t="s">
        <v>382</v>
      </c>
      <c r="B23" s="468"/>
      <c r="C23" s="473" t="s">
        <v>383</v>
      </c>
      <c r="D23" s="473"/>
    </row>
    <row r="24" spans="1:4" ht="92.25" customHeight="1" thickBot="1">
      <c r="A24" s="468" t="s">
        <v>384</v>
      </c>
      <c r="B24" s="468"/>
      <c r="C24" s="469" t="s">
        <v>385</v>
      </c>
      <c r="D24" s="469"/>
    </row>
    <row r="25" spans="1:4" ht="51" customHeight="1" thickBot="1">
      <c r="A25" s="468" t="s">
        <v>386</v>
      </c>
      <c r="B25" s="468"/>
      <c r="C25" s="469" t="s">
        <v>387</v>
      </c>
      <c r="D25" s="469"/>
    </row>
    <row r="33" spans="1:4" ht="20.100000000000001" customHeight="1">
      <c r="A33" s="101"/>
      <c r="B33" s="101"/>
      <c r="C33" s="102"/>
      <c r="D33" s="102"/>
    </row>
    <row r="34" spans="1:4" ht="20.100000000000001" customHeight="1">
      <c r="A34" s="101"/>
      <c r="B34" s="101"/>
      <c r="C34" s="102"/>
      <c r="D34" s="102"/>
    </row>
    <row r="35" spans="1:4" ht="20.100000000000001" customHeight="1">
      <c r="A35" s="101"/>
      <c r="B35" s="101"/>
      <c r="C35" s="102"/>
      <c r="D35" s="102"/>
    </row>
    <row r="36" spans="1:4" ht="20.100000000000001" customHeight="1">
      <c r="A36" s="101"/>
      <c r="B36" s="101"/>
      <c r="C36" s="102"/>
      <c r="D36" s="102"/>
    </row>
    <row r="37" spans="1:4" ht="20.100000000000001" customHeight="1">
      <c r="A37" s="101"/>
      <c r="B37" s="101"/>
      <c r="C37" s="102"/>
      <c r="D37" s="102"/>
    </row>
    <row r="38" spans="1:4" ht="20.100000000000001" customHeight="1">
      <c r="A38" s="101"/>
      <c r="B38" s="101"/>
      <c r="C38" s="102"/>
      <c r="D38" s="102"/>
    </row>
    <row r="39" spans="1:4" ht="20.100000000000001" customHeight="1">
      <c r="A39" s="101"/>
      <c r="B39" s="101"/>
      <c r="C39" s="102"/>
      <c r="D39" s="102"/>
    </row>
    <row r="40" spans="1:4" ht="20.100000000000001" customHeight="1">
      <c r="A40" s="101"/>
      <c r="B40" s="101"/>
      <c r="C40" s="102"/>
      <c r="D40" s="102"/>
    </row>
    <row r="41" spans="1:4" ht="20.100000000000001" customHeight="1">
      <c r="A41" s="101"/>
      <c r="B41" s="101"/>
      <c r="C41" s="102"/>
      <c r="D41" s="102"/>
    </row>
    <row r="42" spans="1:4" ht="20.100000000000001" customHeight="1">
      <c r="A42" s="101"/>
      <c r="B42" s="101"/>
      <c r="C42" s="102"/>
      <c r="D42" s="102"/>
    </row>
    <row r="43" spans="1:4" ht="20.100000000000001" customHeight="1">
      <c r="A43" s="101"/>
      <c r="B43" s="101"/>
      <c r="C43" s="102"/>
      <c r="D43" s="102"/>
    </row>
    <row r="44" spans="1:4" ht="20.100000000000001" customHeight="1">
      <c r="A44" s="103"/>
      <c r="B44" s="103"/>
      <c r="C44" s="102"/>
      <c r="D44" s="102"/>
    </row>
    <row r="45" spans="1:4" ht="20.100000000000001" customHeight="1">
      <c r="A45" s="103"/>
      <c r="B45" s="103"/>
      <c r="C45" s="102"/>
      <c r="D45" s="102"/>
    </row>
    <row r="46" spans="1:4" ht="20.100000000000001" customHeight="1">
      <c r="A46" s="103"/>
      <c r="B46" s="103"/>
      <c r="C46" s="102"/>
      <c r="D46" s="102"/>
    </row>
    <row r="47" spans="1:4" ht="20.100000000000001" customHeight="1">
      <c r="A47" s="8"/>
      <c r="B47" s="8"/>
      <c r="C47" s="85"/>
      <c r="D47" s="85"/>
    </row>
    <row r="48" spans="1:4" ht="20.100000000000001" customHeight="1">
      <c r="C48" s="105"/>
      <c r="D48" s="105"/>
    </row>
    <row r="49" spans="3:4" ht="20.100000000000001" customHeight="1">
      <c r="C49" s="105"/>
      <c r="D49" s="105"/>
    </row>
    <row r="50" spans="3:4" ht="20.100000000000001" customHeight="1">
      <c r="C50" s="105"/>
      <c r="D50" s="105"/>
    </row>
    <row r="51" spans="3:4" ht="20.100000000000001" customHeight="1">
      <c r="C51" s="105"/>
      <c r="D51" s="105"/>
    </row>
    <row r="52" spans="3:4" ht="20.100000000000001" customHeight="1">
      <c r="C52" s="105"/>
      <c r="D52" s="105"/>
    </row>
    <row r="53" spans="3:4" ht="20.100000000000001" customHeight="1">
      <c r="C53" s="105"/>
      <c r="D53" s="105"/>
    </row>
    <row r="54" spans="3:4" ht="20.100000000000001" customHeight="1">
      <c r="C54" s="105"/>
      <c r="D54" s="105"/>
    </row>
    <row r="55" spans="3:4" ht="20.100000000000001" customHeight="1">
      <c r="C55" s="105"/>
      <c r="D55" s="105"/>
    </row>
    <row r="56" spans="3:4" ht="20.100000000000001" customHeight="1">
      <c r="C56" s="105"/>
      <c r="D56" s="105"/>
    </row>
  </sheetData>
  <sheetProtection sheet="1" objects="1" formatCells="0" formatColumns="0" formatRows="0" insertColumns="0" insertRows="0" insertHyperlinks="0" deleteColumns="0" deleteRows="0" sort="0" autoFilter="0" pivotTables="0"/>
  <mergeCells count="33">
    <mergeCell ref="A12:B12"/>
    <mergeCell ref="C12:D12"/>
    <mergeCell ref="A4:D4"/>
    <mergeCell ref="A5:D5"/>
    <mergeCell ref="A6:D6"/>
    <mergeCell ref="A7:D7"/>
    <mergeCell ref="A8:B8"/>
    <mergeCell ref="C8:D8"/>
    <mergeCell ref="A9:B9"/>
    <mergeCell ref="C9:D9"/>
    <mergeCell ref="A10:B10"/>
    <mergeCell ref="C10:D10"/>
    <mergeCell ref="B11:C11"/>
    <mergeCell ref="B13:C13"/>
    <mergeCell ref="B14:C14"/>
    <mergeCell ref="B15:C15"/>
    <mergeCell ref="A16:B16"/>
    <mergeCell ref="C16:D16"/>
    <mergeCell ref="B17:C17"/>
    <mergeCell ref="B18:C18"/>
    <mergeCell ref="A19:B19"/>
    <mergeCell ref="C19:D19"/>
    <mergeCell ref="B20:C20"/>
    <mergeCell ref="A24:B24"/>
    <mergeCell ref="C24:D24"/>
    <mergeCell ref="A25:B25"/>
    <mergeCell ref="C25:D25"/>
    <mergeCell ref="A21:B21"/>
    <mergeCell ref="C21:D21"/>
    <mergeCell ref="A22:B22"/>
    <mergeCell ref="C22:D22"/>
    <mergeCell ref="A23:B23"/>
    <mergeCell ref="C23:D23"/>
  </mergeCells>
  <printOptions horizontalCentered="1"/>
  <pageMargins left="0.39370078740157483" right="0.39370078740157483" top="0.39370078740157483" bottom="1.1811023622047245" header="0.39370078740157483" footer="0.39370078740157483"/>
  <pageSetup paperSize="9" scale="93" orientation="portrait" r:id="rId1"/>
  <headerFooter>
    <oddFooter>&amp;Lتوقيع المستأجر   Tenant signature&amp;C&amp;P&amp;D - &amp;P&amp;Rتوقيع المؤجر Landlord signature</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80"/>
  <sheetViews>
    <sheetView view="pageBreakPreview" topLeftCell="A37" zoomScale="115" zoomScaleNormal="130" zoomScaleSheetLayoutView="115" workbookViewId="0">
      <selection activeCell="D11" sqref="A11:F11"/>
    </sheetView>
  </sheetViews>
  <sheetFormatPr defaultColWidth="8.85546875" defaultRowHeight="15.75"/>
  <cols>
    <col min="1" max="1" width="5.42578125" style="9" customWidth="1"/>
    <col min="2" max="2" width="28.140625" style="10" bestFit="1" customWidth="1"/>
    <col min="3" max="3" width="17.28515625" style="10" bestFit="1" customWidth="1"/>
    <col min="4" max="4" width="21.140625" style="10" bestFit="1" customWidth="1"/>
    <col min="5" max="5" width="27.42578125" style="10" bestFit="1" customWidth="1"/>
    <col min="6" max="6" width="5.42578125" style="9" customWidth="1"/>
    <col min="7" max="16384" width="8.85546875" style="9"/>
  </cols>
  <sheetData>
    <row r="1" spans="1:6">
      <c r="A1" s="15"/>
      <c r="B1" s="8"/>
      <c r="C1" s="8"/>
      <c r="D1" s="8"/>
      <c r="E1" s="8"/>
      <c r="F1" s="15"/>
    </row>
    <row r="2" spans="1:6">
      <c r="A2" s="15"/>
      <c r="B2" s="8"/>
      <c r="C2" s="8"/>
      <c r="D2" s="8"/>
      <c r="E2" s="8"/>
      <c r="F2" s="15"/>
    </row>
    <row r="3" spans="1:6" ht="23.25" customHeight="1">
      <c r="A3" s="15"/>
      <c r="B3" s="8"/>
      <c r="C3" s="8"/>
      <c r="D3" s="8"/>
      <c r="E3" s="8"/>
      <c r="F3" s="15"/>
    </row>
    <row r="4" spans="1:6" ht="21" customHeight="1">
      <c r="A4" s="160" t="s">
        <v>76</v>
      </c>
      <c r="B4" s="160"/>
      <c r="C4" s="160"/>
      <c r="D4" s="160"/>
      <c r="E4" s="160"/>
      <c r="F4" s="160"/>
    </row>
    <row r="5" spans="1:6" ht="21" customHeight="1">
      <c r="A5" s="160" t="s">
        <v>388</v>
      </c>
      <c r="B5" s="160"/>
      <c r="C5" s="160"/>
      <c r="D5" s="160"/>
      <c r="E5" s="160"/>
      <c r="F5" s="160"/>
    </row>
    <row r="6" spans="1:6" ht="21" customHeight="1">
      <c r="A6" s="161" t="s">
        <v>26</v>
      </c>
      <c r="B6" s="161"/>
      <c r="C6" s="161"/>
      <c r="D6" s="161"/>
      <c r="E6" s="161"/>
      <c r="F6" s="161"/>
    </row>
    <row r="7" spans="1:6" ht="21" customHeight="1">
      <c r="A7" s="161" t="s">
        <v>1</v>
      </c>
      <c r="B7" s="161"/>
      <c r="C7" s="161"/>
      <c r="D7" s="161"/>
      <c r="E7" s="161"/>
      <c r="F7" s="161"/>
    </row>
    <row r="8" spans="1:6" ht="16.5" thickBot="1">
      <c r="A8" s="48"/>
      <c r="B8" s="48"/>
      <c r="C8" s="48"/>
      <c r="D8" s="48"/>
      <c r="E8" s="48"/>
      <c r="F8" s="48"/>
    </row>
    <row r="9" spans="1:6" ht="37.5" hidden="1" customHeight="1" thickBot="1">
      <c r="A9" s="274" t="s">
        <v>296</v>
      </c>
      <c r="B9" s="275"/>
      <c r="C9" s="276"/>
      <c r="D9" s="277" t="s">
        <v>297</v>
      </c>
      <c r="E9" s="277"/>
      <c r="F9" s="278"/>
    </row>
    <row r="10" spans="1:6" ht="35.1" hidden="1" customHeight="1" thickBot="1">
      <c r="A10" s="279" t="s">
        <v>15</v>
      </c>
      <c r="B10" s="280"/>
      <c r="C10" s="281">
        <f>'01- Residential'!C11</f>
        <v>20241115892</v>
      </c>
      <c r="D10" s="282"/>
      <c r="E10" s="283" t="s">
        <v>14</v>
      </c>
      <c r="F10" s="284"/>
    </row>
    <row r="11" spans="1:6" ht="37.5" customHeight="1" thickBot="1">
      <c r="A11" s="498" t="s">
        <v>448</v>
      </c>
      <c r="B11" s="499"/>
      <c r="C11" s="499"/>
      <c r="D11" s="500" t="s">
        <v>447</v>
      </c>
      <c r="E11" s="500"/>
      <c r="F11" s="501"/>
    </row>
    <row r="12" spans="1:6" s="115" customFormat="1" ht="30" customHeight="1" thickBot="1">
      <c r="A12" s="126">
        <v>1</v>
      </c>
      <c r="B12" s="289" t="s">
        <v>104</v>
      </c>
      <c r="C12" s="290"/>
      <c r="D12" s="289" t="s">
        <v>105</v>
      </c>
      <c r="E12" s="290"/>
      <c r="F12" s="127">
        <v>1</v>
      </c>
    </row>
    <row r="13" spans="1:6" ht="36.75" customHeight="1" thickBot="1">
      <c r="A13" s="128" t="s">
        <v>97</v>
      </c>
      <c r="B13" s="266" t="s">
        <v>106</v>
      </c>
      <c r="C13" s="267"/>
      <c r="D13" s="268" t="s">
        <v>107</v>
      </c>
      <c r="E13" s="269"/>
      <c r="F13" s="129" t="s">
        <v>86</v>
      </c>
    </row>
    <row r="14" spans="1:6" s="115" customFormat="1" ht="30" customHeight="1" thickBot="1">
      <c r="A14" s="126">
        <v>2</v>
      </c>
      <c r="B14" s="289" t="s">
        <v>108</v>
      </c>
      <c r="C14" s="290"/>
      <c r="D14" s="289" t="s">
        <v>109</v>
      </c>
      <c r="E14" s="290"/>
      <c r="F14" s="127">
        <v>2</v>
      </c>
    </row>
    <row r="15" spans="1:6" ht="35.25" customHeight="1">
      <c r="A15" s="130" t="s">
        <v>97</v>
      </c>
      <c r="B15" s="270" t="s">
        <v>110</v>
      </c>
      <c r="C15" s="271"/>
      <c r="D15" s="272" t="s">
        <v>111</v>
      </c>
      <c r="E15" s="273"/>
      <c r="F15" s="131" t="s">
        <v>86</v>
      </c>
    </row>
    <row r="16" spans="1:6" ht="58.5" customHeight="1" thickBot="1">
      <c r="A16" s="130" t="s">
        <v>98</v>
      </c>
      <c r="B16" s="291" t="s">
        <v>112</v>
      </c>
      <c r="C16" s="292"/>
      <c r="D16" s="293" t="s">
        <v>113</v>
      </c>
      <c r="E16" s="294"/>
      <c r="F16" s="133" t="s">
        <v>99</v>
      </c>
    </row>
    <row r="17" spans="1:6" s="115" customFormat="1" ht="30" customHeight="1" thickBot="1">
      <c r="A17" s="126">
        <v>3</v>
      </c>
      <c r="B17" s="289" t="s">
        <v>114</v>
      </c>
      <c r="C17" s="290"/>
      <c r="D17" s="289" t="s">
        <v>115</v>
      </c>
      <c r="E17" s="290"/>
      <c r="F17" s="127">
        <v>3</v>
      </c>
    </row>
    <row r="18" spans="1:6" ht="39.950000000000003" customHeight="1">
      <c r="A18" s="128" t="s">
        <v>97</v>
      </c>
      <c r="B18" s="266" t="s">
        <v>116</v>
      </c>
      <c r="C18" s="267"/>
      <c r="D18" s="268" t="s">
        <v>117</v>
      </c>
      <c r="E18" s="269"/>
      <c r="F18" s="129" t="s">
        <v>86</v>
      </c>
    </row>
    <row r="19" spans="1:6" ht="46.5" customHeight="1">
      <c r="A19" s="130" t="s">
        <v>98</v>
      </c>
      <c r="B19" s="270" t="s">
        <v>118</v>
      </c>
      <c r="C19" s="271"/>
      <c r="D19" s="272" t="s">
        <v>119</v>
      </c>
      <c r="E19" s="273"/>
      <c r="F19" s="131" t="s">
        <v>99</v>
      </c>
    </row>
    <row r="20" spans="1:6" ht="39.950000000000003" customHeight="1" thickBot="1">
      <c r="A20" s="128" t="s">
        <v>100</v>
      </c>
      <c r="B20" s="270" t="s">
        <v>121</v>
      </c>
      <c r="C20" s="271"/>
      <c r="D20" s="272" t="s">
        <v>122</v>
      </c>
      <c r="E20" s="273"/>
      <c r="F20" s="131" t="s">
        <v>101</v>
      </c>
    </row>
    <row r="21" spans="1:6" s="115" customFormat="1" ht="30" customHeight="1" thickBot="1">
      <c r="A21" s="126">
        <v>4</v>
      </c>
      <c r="B21" s="289" t="s">
        <v>128</v>
      </c>
      <c r="C21" s="290"/>
      <c r="D21" s="289" t="s">
        <v>129</v>
      </c>
      <c r="E21" s="290"/>
      <c r="F21" s="127">
        <v>4</v>
      </c>
    </row>
    <row r="22" spans="1:6" ht="30" customHeight="1">
      <c r="A22" s="128" t="s">
        <v>97</v>
      </c>
      <c r="B22" s="266" t="s">
        <v>130</v>
      </c>
      <c r="C22" s="267"/>
      <c r="D22" s="268" t="s">
        <v>131</v>
      </c>
      <c r="E22" s="269"/>
      <c r="F22" s="129" t="s">
        <v>86</v>
      </c>
    </row>
    <row r="23" spans="1:6" ht="31.5" customHeight="1">
      <c r="A23" s="130" t="s">
        <v>98</v>
      </c>
      <c r="B23" s="270" t="s">
        <v>132</v>
      </c>
      <c r="C23" s="271"/>
      <c r="D23" s="272" t="s">
        <v>133</v>
      </c>
      <c r="E23" s="273"/>
      <c r="F23" s="131" t="s">
        <v>99</v>
      </c>
    </row>
    <row r="24" spans="1:6" ht="52.5" customHeight="1">
      <c r="A24" s="130" t="s">
        <v>100</v>
      </c>
      <c r="B24" s="270" t="s">
        <v>134</v>
      </c>
      <c r="C24" s="271"/>
      <c r="D24" s="272" t="s">
        <v>135</v>
      </c>
      <c r="E24" s="273"/>
      <c r="F24" s="131" t="s">
        <v>101</v>
      </c>
    </row>
    <row r="25" spans="1:6" ht="70.5" customHeight="1">
      <c r="A25" s="130" t="s">
        <v>102</v>
      </c>
      <c r="B25" s="270" t="s">
        <v>136</v>
      </c>
      <c r="C25" s="271"/>
      <c r="D25" s="272" t="s">
        <v>137</v>
      </c>
      <c r="E25" s="273"/>
      <c r="F25" s="131" t="s">
        <v>103</v>
      </c>
    </row>
    <row r="26" spans="1:6" ht="63.75" customHeight="1">
      <c r="A26" s="130" t="s">
        <v>120</v>
      </c>
      <c r="B26" s="270" t="s">
        <v>138</v>
      </c>
      <c r="C26" s="271"/>
      <c r="D26" s="272" t="s">
        <v>139</v>
      </c>
      <c r="E26" s="273"/>
      <c r="F26" s="131" t="s">
        <v>123</v>
      </c>
    </row>
    <row r="27" spans="1:6" ht="45" customHeight="1" thickBot="1">
      <c r="A27" s="132" t="s">
        <v>124</v>
      </c>
      <c r="B27" s="291" t="s">
        <v>140</v>
      </c>
      <c r="C27" s="292"/>
      <c r="D27" s="293" t="s">
        <v>141</v>
      </c>
      <c r="E27" s="294"/>
      <c r="F27" s="133" t="s">
        <v>125</v>
      </c>
    </row>
    <row r="28" spans="1:6" s="115" customFormat="1" ht="30" customHeight="1" thickBot="1">
      <c r="A28" s="126">
        <v>5</v>
      </c>
      <c r="B28" s="289" t="s">
        <v>142</v>
      </c>
      <c r="C28" s="290"/>
      <c r="D28" s="289" t="s">
        <v>143</v>
      </c>
      <c r="E28" s="290"/>
      <c r="F28" s="127">
        <v>5</v>
      </c>
    </row>
    <row r="29" spans="1:6" ht="45" customHeight="1">
      <c r="A29" s="128" t="s">
        <v>97</v>
      </c>
      <c r="B29" s="266" t="s">
        <v>144</v>
      </c>
      <c r="C29" s="267"/>
      <c r="D29" s="268" t="s">
        <v>145</v>
      </c>
      <c r="E29" s="269"/>
      <c r="F29" s="129" t="s">
        <v>86</v>
      </c>
    </row>
    <row r="30" spans="1:6" ht="54.75" customHeight="1">
      <c r="A30" s="130" t="s">
        <v>98</v>
      </c>
      <c r="B30" s="270" t="s">
        <v>146</v>
      </c>
      <c r="C30" s="271"/>
      <c r="D30" s="272" t="s">
        <v>147</v>
      </c>
      <c r="E30" s="273"/>
      <c r="F30" s="131" t="s">
        <v>99</v>
      </c>
    </row>
    <row r="31" spans="1:6" ht="39.950000000000003" customHeight="1" thickBot="1">
      <c r="A31" s="130" t="s">
        <v>100</v>
      </c>
      <c r="B31" s="270" t="s">
        <v>148</v>
      </c>
      <c r="C31" s="271"/>
      <c r="D31" s="272" t="s">
        <v>149</v>
      </c>
      <c r="E31" s="273"/>
      <c r="F31" s="131" t="s">
        <v>101</v>
      </c>
    </row>
    <row r="32" spans="1:6" s="115" customFormat="1" ht="30" customHeight="1" thickBot="1">
      <c r="A32" s="126">
        <v>6</v>
      </c>
      <c r="B32" s="289" t="s">
        <v>150</v>
      </c>
      <c r="C32" s="290"/>
      <c r="D32" s="289" t="s">
        <v>151</v>
      </c>
      <c r="E32" s="290"/>
      <c r="F32" s="127">
        <v>6</v>
      </c>
    </row>
    <row r="33" spans="1:6" ht="32.25" customHeight="1">
      <c r="A33" s="128" t="s">
        <v>97</v>
      </c>
      <c r="B33" s="266" t="s">
        <v>152</v>
      </c>
      <c r="C33" s="267"/>
      <c r="D33" s="268" t="s">
        <v>153</v>
      </c>
      <c r="E33" s="269"/>
      <c r="F33" s="129" t="s">
        <v>86</v>
      </c>
    </row>
    <row r="34" spans="1:6" ht="96" customHeight="1">
      <c r="A34" s="130" t="s">
        <v>98</v>
      </c>
      <c r="B34" s="270" t="s">
        <v>154</v>
      </c>
      <c r="C34" s="271"/>
      <c r="D34" s="272" t="s">
        <v>155</v>
      </c>
      <c r="E34" s="273"/>
      <c r="F34" s="131" t="s">
        <v>99</v>
      </c>
    </row>
    <row r="35" spans="1:6" ht="42" customHeight="1" thickBot="1">
      <c r="A35" s="132" t="s">
        <v>100</v>
      </c>
      <c r="B35" s="291" t="s">
        <v>156</v>
      </c>
      <c r="C35" s="292"/>
      <c r="D35" s="293" t="s">
        <v>157</v>
      </c>
      <c r="E35" s="294"/>
      <c r="F35" s="133" t="s">
        <v>101</v>
      </c>
    </row>
    <row r="36" spans="1:6" s="115" customFormat="1" ht="30" customHeight="1" thickBot="1">
      <c r="A36" s="126">
        <v>7</v>
      </c>
      <c r="B36" s="289" t="s">
        <v>158</v>
      </c>
      <c r="C36" s="290"/>
      <c r="D36" s="289" t="s">
        <v>159</v>
      </c>
      <c r="E36" s="290"/>
      <c r="F36" s="127">
        <v>7</v>
      </c>
    </row>
    <row r="37" spans="1:6" ht="42.75" customHeight="1">
      <c r="A37" s="130" t="s">
        <v>97</v>
      </c>
      <c r="B37" s="270" t="s">
        <v>160</v>
      </c>
      <c r="C37" s="271"/>
      <c r="D37" s="272" t="s">
        <v>161</v>
      </c>
      <c r="E37" s="273"/>
      <c r="F37" s="131" t="s">
        <v>86</v>
      </c>
    </row>
    <row r="38" spans="1:6" ht="22.5" customHeight="1">
      <c r="A38" s="130" t="s">
        <v>98</v>
      </c>
      <c r="B38" s="270" t="s">
        <v>162</v>
      </c>
      <c r="C38" s="271"/>
      <c r="D38" s="272" t="s">
        <v>163</v>
      </c>
      <c r="E38" s="273"/>
      <c r="F38" s="131" t="s">
        <v>99</v>
      </c>
    </row>
    <row r="39" spans="1:6" ht="36.75" customHeight="1">
      <c r="A39" s="130" t="s">
        <v>100</v>
      </c>
      <c r="B39" s="270" t="s">
        <v>288</v>
      </c>
      <c r="C39" s="271"/>
      <c r="D39" s="272" t="s">
        <v>289</v>
      </c>
      <c r="E39" s="273"/>
      <c r="F39" s="131" t="s">
        <v>101</v>
      </c>
    </row>
    <row r="40" spans="1:6" ht="57.75" customHeight="1">
      <c r="A40" s="130" t="s">
        <v>102</v>
      </c>
      <c r="B40" s="270" t="s">
        <v>290</v>
      </c>
      <c r="C40" s="271"/>
      <c r="D40" s="272" t="s">
        <v>291</v>
      </c>
      <c r="E40" s="273"/>
      <c r="F40" s="131" t="s">
        <v>103</v>
      </c>
    </row>
    <row r="41" spans="1:6" ht="66" customHeight="1">
      <c r="A41" s="130" t="s">
        <v>120</v>
      </c>
      <c r="B41" s="270" t="s">
        <v>165</v>
      </c>
      <c r="C41" s="271"/>
      <c r="D41" s="272" t="s">
        <v>166</v>
      </c>
      <c r="E41" s="273"/>
      <c r="F41" s="131" t="s">
        <v>123</v>
      </c>
    </row>
    <row r="42" spans="1:6" ht="53.1" customHeight="1">
      <c r="A42" s="130" t="s">
        <v>124</v>
      </c>
      <c r="B42" s="270" t="s">
        <v>174</v>
      </c>
      <c r="C42" s="271"/>
      <c r="D42" s="272" t="s">
        <v>175</v>
      </c>
      <c r="E42" s="273"/>
      <c r="F42" s="131" t="s">
        <v>125</v>
      </c>
    </row>
    <row r="43" spans="1:6" ht="53.1" customHeight="1">
      <c r="A43" s="130" t="s">
        <v>126</v>
      </c>
      <c r="B43" s="270" t="s">
        <v>176</v>
      </c>
      <c r="C43" s="271"/>
      <c r="D43" s="272" t="s">
        <v>177</v>
      </c>
      <c r="E43" s="273"/>
      <c r="F43" s="131" t="s">
        <v>127</v>
      </c>
    </row>
    <row r="44" spans="1:6" ht="79.5" customHeight="1">
      <c r="A44" s="130" t="s">
        <v>164</v>
      </c>
      <c r="B44" s="270" t="s">
        <v>178</v>
      </c>
      <c r="C44" s="271"/>
      <c r="D44" s="272" t="s">
        <v>179</v>
      </c>
      <c r="E44" s="273"/>
      <c r="F44" s="131" t="s">
        <v>167</v>
      </c>
    </row>
    <row r="45" spans="1:6" ht="47.25" customHeight="1">
      <c r="A45" s="130" t="s">
        <v>168</v>
      </c>
      <c r="B45" s="270" t="s">
        <v>180</v>
      </c>
      <c r="C45" s="271"/>
      <c r="D45" s="272" t="s">
        <v>292</v>
      </c>
      <c r="E45" s="273"/>
      <c r="F45" s="131" t="s">
        <v>169</v>
      </c>
    </row>
    <row r="46" spans="1:6" ht="81" customHeight="1">
      <c r="A46" s="130" t="s">
        <v>170</v>
      </c>
      <c r="B46" s="270" t="s">
        <v>181</v>
      </c>
      <c r="C46" s="271"/>
      <c r="D46" s="272" t="s">
        <v>293</v>
      </c>
      <c r="E46" s="273"/>
      <c r="F46" s="131" t="s">
        <v>171</v>
      </c>
    </row>
    <row r="47" spans="1:6" ht="51" customHeight="1" thickBot="1">
      <c r="A47" s="132" t="s">
        <v>172</v>
      </c>
      <c r="B47" s="291" t="s">
        <v>182</v>
      </c>
      <c r="C47" s="292"/>
      <c r="D47" s="293" t="s">
        <v>183</v>
      </c>
      <c r="E47" s="294"/>
      <c r="F47" s="133" t="s">
        <v>173</v>
      </c>
    </row>
    <row r="48" spans="1:6" s="115" customFormat="1" ht="30" customHeight="1" thickBot="1">
      <c r="A48" s="126">
        <v>8</v>
      </c>
      <c r="B48" s="289" t="s">
        <v>184</v>
      </c>
      <c r="C48" s="290"/>
      <c r="D48" s="289" t="s">
        <v>185</v>
      </c>
      <c r="E48" s="290"/>
      <c r="F48" s="127">
        <v>8</v>
      </c>
    </row>
    <row r="49" spans="1:6" ht="55.5" customHeight="1">
      <c r="A49" s="128" t="s">
        <v>97</v>
      </c>
      <c r="B49" s="266" t="s">
        <v>186</v>
      </c>
      <c r="C49" s="267"/>
      <c r="D49" s="268" t="s">
        <v>187</v>
      </c>
      <c r="E49" s="269"/>
      <c r="F49" s="129" t="s">
        <v>86</v>
      </c>
    </row>
    <row r="50" spans="1:6" ht="51" customHeight="1">
      <c r="A50" s="130" t="s">
        <v>98</v>
      </c>
      <c r="B50" s="270" t="s">
        <v>188</v>
      </c>
      <c r="C50" s="271"/>
      <c r="D50" s="272" t="s">
        <v>189</v>
      </c>
      <c r="E50" s="273"/>
      <c r="F50" s="131" t="s">
        <v>99</v>
      </c>
    </row>
    <row r="51" spans="1:6" ht="75" customHeight="1">
      <c r="A51" s="130" t="s">
        <v>100</v>
      </c>
      <c r="B51" s="270" t="s">
        <v>190</v>
      </c>
      <c r="C51" s="271"/>
      <c r="D51" s="272" t="s">
        <v>191</v>
      </c>
      <c r="E51" s="273"/>
      <c r="F51" s="131" t="s">
        <v>101</v>
      </c>
    </row>
    <row r="52" spans="1:6" ht="62.25" customHeight="1" thickBot="1">
      <c r="A52" s="132" t="s">
        <v>102</v>
      </c>
      <c r="B52" s="291" t="s">
        <v>192</v>
      </c>
      <c r="C52" s="292"/>
      <c r="D52" s="293" t="s">
        <v>193</v>
      </c>
      <c r="E52" s="294"/>
      <c r="F52" s="133" t="s">
        <v>103</v>
      </c>
    </row>
    <row r="53" spans="1:6" ht="33.75" customHeight="1" thickBot="1">
      <c r="A53" s="126">
        <v>9</v>
      </c>
      <c r="B53" s="295" t="s">
        <v>194</v>
      </c>
      <c r="C53" s="296"/>
      <c r="D53" s="297" t="s">
        <v>195</v>
      </c>
      <c r="E53" s="298"/>
      <c r="F53" s="127">
        <v>9</v>
      </c>
    </row>
    <row r="54" spans="1:6" ht="48.75" customHeight="1" thickBot="1">
      <c r="A54" s="134" t="s">
        <v>97</v>
      </c>
      <c r="B54" s="299" t="s">
        <v>196</v>
      </c>
      <c r="C54" s="300"/>
      <c r="D54" s="301" t="s">
        <v>294</v>
      </c>
      <c r="E54" s="302"/>
      <c r="F54" s="135" t="s">
        <v>86</v>
      </c>
    </row>
    <row r="55" spans="1:6" s="115" customFormat="1" ht="30" customHeight="1" thickBot="1">
      <c r="A55" s="126">
        <v>10</v>
      </c>
      <c r="B55" s="289" t="s">
        <v>197</v>
      </c>
      <c r="C55" s="290"/>
      <c r="D55" s="289" t="s">
        <v>198</v>
      </c>
      <c r="E55" s="290"/>
      <c r="F55" s="127">
        <v>10</v>
      </c>
    </row>
    <row r="56" spans="1:6" ht="39.950000000000003" customHeight="1" thickBot="1">
      <c r="A56" s="134" t="s">
        <v>97</v>
      </c>
      <c r="B56" s="299" t="s">
        <v>199</v>
      </c>
      <c r="C56" s="300"/>
      <c r="D56" s="301" t="s">
        <v>200</v>
      </c>
      <c r="E56" s="302"/>
      <c r="F56" s="135" t="s">
        <v>86</v>
      </c>
    </row>
    <row r="57" spans="1:6" s="115" customFormat="1" ht="30" customHeight="1" thickBot="1">
      <c r="A57" s="126">
        <v>11</v>
      </c>
      <c r="B57" s="289" t="s">
        <v>201</v>
      </c>
      <c r="C57" s="290"/>
      <c r="D57" s="289" t="s">
        <v>202</v>
      </c>
      <c r="E57" s="290"/>
      <c r="F57" s="127">
        <v>11</v>
      </c>
    </row>
    <row r="58" spans="1:6" ht="53.1" customHeight="1" thickBot="1">
      <c r="A58" s="128" t="s">
        <v>97</v>
      </c>
      <c r="B58" s="266" t="s">
        <v>203</v>
      </c>
      <c r="C58" s="267"/>
      <c r="D58" s="268" t="s">
        <v>204</v>
      </c>
      <c r="E58" s="269"/>
      <c r="F58" s="129" t="s">
        <v>86</v>
      </c>
    </row>
    <row r="59" spans="1:6" s="115" customFormat="1" ht="30" customHeight="1" thickBot="1">
      <c r="A59" s="126">
        <v>12</v>
      </c>
      <c r="B59" s="289" t="s">
        <v>205</v>
      </c>
      <c r="C59" s="290"/>
      <c r="D59" s="289" t="s">
        <v>206</v>
      </c>
      <c r="E59" s="290"/>
      <c r="F59" s="127">
        <v>12</v>
      </c>
    </row>
    <row r="60" spans="1:6" ht="53.1" customHeight="1" thickBot="1">
      <c r="A60" s="134" t="s">
        <v>97</v>
      </c>
      <c r="B60" s="299" t="s">
        <v>207</v>
      </c>
      <c r="C60" s="300"/>
      <c r="D60" s="301" t="s">
        <v>208</v>
      </c>
      <c r="E60" s="302"/>
      <c r="F60" s="135" t="s">
        <v>86</v>
      </c>
    </row>
    <row r="61" spans="1:6" s="115" customFormat="1" ht="30" customHeight="1" thickBot="1">
      <c r="A61" s="126">
        <v>13</v>
      </c>
      <c r="B61" s="289" t="s">
        <v>209</v>
      </c>
      <c r="C61" s="290"/>
      <c r="D61" s="289" t="s">
        <v>210</v>
      </c>
      <c r="E61" s="290"/>
      <c r="F61" s="127">
        <v>13</v>
      </c>
    </row>
    <row r="62" spans="1:6" ht="39.950000000000003" customHeight="1">
      <c r="A62" s="128" t="s">
        <v>97</v>
      </c>
      <c r="B62" s="266" t="s">
        <v>211</v>
      </c>
      <c r="C62" s="267"/>
      <c r="D62" s="268" t="s">
        <v>212</v>
      </c>
      <c r="E62" s="269"/>
      <c r="F62" s="129" t="s">
        <v>86</v>
      </c>
    </row>
    <row r="63" spans="1:6" ht="69.95" customHeight="1">
      <c r="A63" s="130" t="s">
        <v>98</v>
      </c>
      <c r="B63" s="270" t="s">
        <v>213</v>
      </c>
      <c r="C63" s="271"/>
      <c r="D63" s="272" t="s">
        <v>214</v>
      </c>
      <c r="E63" s="273"/>
      <c r="F63" s="131" t="s">
        <v>99</v>
      </c>
    </row>
    <row r="64" spans="1:6" ht="53.1" customHeight="1" thickBot="1">
      <c r="A64" s="132" t="s">
        <v>100</v>
      </c>
      <c r="B64" s="291" t="s">
        <v>215</v>
      </c>
      <c r="C64" s="292"/>
      <c r="D64" s="293" t="s">
        <v>216</v>
      </c>
      <c r="E64" s="294"/>
      <c r="F64" s="133" t="s">
        <v>101</v>
      </c>
    </row>
    <row r="65" spans="1:6" s="115" customFormat="1" ht="30" customHeight="1" thickBot="1">
      <c r="A65" s="126">
        <v>14</v>
      </c>
      <c r="B65" s="289" t="s">
        <v>217</v>
      </c>
      <c r="C65" s="290"/>
      <c r="D65" s="289" t="s">
        <v>218</v>
      </c>
      <c r="E65" s="290"/>
      <c r="F65" s="127">
        <v>14</v>
      </c>
    </row>
    <row r="66" spans="1:6" ht="39.950000000000003" customHeight="1">
      <c r="A66" s="128" t="s">
        <v>97</v>
      </c>
      <c r="B66" s="266" t="s">
        <v>219</v>
      </c>
      <c r="C66" s="267"/>
      <c r="D66" s="268" t="s">
        <v>220</v>
      </c>
      <c r="E66" s="269"/>
      <c r="F66" s="129" t="s">
        <v>86</v>
      </c>
    </row>
    <row r="67" spans="1:6" ht="53.1" customHeight="1">
      <c r="A67" s="130" t="s">
        <v>98</v>
      </c>
      <c r="B67" s="270" t="s">
        <v>221</v>
      </c>
      <c r="C67" s="271"/>
      <c r="D67" s="272" t="s">
        <v>222</v>
      </c>
      <c r="E67" s="273"/>
      <c r="F67" s="131" t="s">
        <v>99</v>
      </c>
    </row>
    <row r="68" spans="1:6" ht="53.1" customHeight="1">
      <c r="A68" s="130" t="s">
        <v>100</v>
      </c>
      <c r="B68" s="270" t="s">
        <v>223</v>
      </c>
      <c r="C68" s="271"/>
      <c r="D68" s="272" t="s">
        <v>224</v>
      </c>
      <c r="E68" s="273"/>
      <c r="F68" s="131" t="s">
        <v>101</v>
      </c>
    </row>
    <row r="69" spans="1:6" ht="69.95" customHeight="1">
      <c r="A69" s="130" t="s">
        <v>102</v>
      </c>
      <c r="B69" s="270" t="s">
        <v>225</v>
      </c>
      <c r="C69" s="271"/>
      <c r="D69" s="272" t="s">
        <v>226</v>
      </c>
      <c r="E69" s="273"/>
      <c r="F69" s="131" t="s">
        <v>103</v>
      </c>
    </row>
    <row r="70" spans="1:6" ht="39" customHeight="1">
      <c r="A70" s="130" t="s">
        <v>120</v>
      </c>
      <c r="B70" s="270" t="s">
        <v>227</v>
      </c>
      <c r="C70" s="271"/>
      <c r="D70" s="272" t="s">
        <v>295</v>
      </c>
      <c r="E70" s="273"/>
      <c r="F70" s="131" t="s">
        <v>123</v>
      </c>
    </row>
    <row r="71" spans="1:6" s="115" customFormat="1" ht="30" customHeight="1">
      <c r="A71" s="136">
        <v>15</v>
      </c>
      <c r="B71" s="303" t="s">
        <v>228</v>
      </c>
      <c r="C71" s="304"/>
      <c r="D71" s="303" t="s">
        <v>229</v>
      </c>
      <c r="E71" s="304"/>
      <c r="F71" s="137">
        <v>15</v>
      </c>
    </row>
    <row r="72" spans="1:6" ht="90" customHeight="1">
      <c r="A72" s="130" t="s">
        <v>97</v>
      </c>
      <c r="B72" s="270" t="s">
        <v>230</v>
      </c>
      <c r="C72" s="271"/>
      <c r="D72" s="272" t="s">
        <v>231</v>
      </c>
      <c r="E72" s="273"/>
      <c r="F72" s="131" t="s">
        <v>86</v>
      </c>
    </row>
    <row r="73" spans="1:6" ht="53.1" customHeight="1">
      <c r="A73" s="130" t="s">
        <v>98</v>
      </c>
      <c r="B73" s="270" t="s">
        <v>232</v>
      </c>
      <c r="C73" s="271"/>
      <c r="D73" s="272" t="s">
        <v>233</v>
      </c>
      <c r="E73" s="273"/>
      <c r="F73" s="131" t="s">
        <v>99</v>
      </c>
    </row>
    <row r="74" spans="1:6" ht="39.950000000000003" customHeight="1">
      <c r="A74" s="130" t="s">
        <v>100</v>
      </c>
      <c r="B74" s="270" t="s">
        <v>234</v>
      </c>
      <c r="C74" s="271"/>
      <c r="D74" s="272" t="s">
        <v>235</v>
      </c>
      <c r="E74" s="273"/>
      <c r="F74" s="131" t="s">
        <v>101</v>
      </c>
    </row>
    <row r="75" spans="1:6" ht="39.950000000000003" customHeight="1">
      <c r="A75" s="130" t="s">
        <v>102</v>
      </c>
      <c r="B75" s="270" t="s">
        <v>236</v>
      </c>
      <c r="C75" s="271"/>
      <c r="D75" s="272" t="s">
        <v>237</v>
      </c>
      <c r="E75" s="273"/>
      <c r="F75" s="131" t="s">
        <v>103</v>
      </c>
    </row>
    <row r="76" spans="1:6" ht="58.5" customHeight="1" thickBot="1">
      <c r="A76" s="132" t="s">
        <v>120</v>
      </c>
      <c r="B76" s="291" t="s">
        <v>238</v>
      </c>
      <c r="C76" s="292"/>
      <c r="D76" s="293" t="s">
        <v>239</v>
      </c>
      <c r="E76" s="294"/>
      <c r="F76" s="133" t="s">
        <v>123</v>
      </c>
    </row>
    <row r="77" spans="1:6" s="115" customFormat="1" ht="30" customHeight="1" thickBot="1">
      <c r="A77" s="126">
        <v>16</v>
      </c>
      <c r="B77" s="289" t="s">
        <v>240</v>
      </c>
      <c r="C77" s="290"/>
      <c r="D77" s="289" t="s">
        <v>241</v>
      </c>
      <c r="E77" s="290"/>
      <c r="F77" s="127">
        <v>16</v>
      </c>
    </row>
    <row r="78" spans="1:6" ht="39.950000000000003" customHeight="1" thickBot="1">
      <c r="A78" s="134" t="s">
        <v>97</v>
      </c>
      <c r="B78" s="299" t="s">
        <v>242</v>
      </c>
      <c r="C78" s="300"/>
      <c r="D78" s="301" t="s">
        <v>243</v>
      </c>
      <c r="E78" s="302"/>
      <c r="F78" s="135" t="s">
        <v>86</v>
      </c>
    </row>
    <row r="79" spans="1:6" s="115" customFormat="1" ht="30" customHeight="1" thickBot="1">
      <c r="A79" s="126">
        <v>17</v>
      </c>
      <c r="B79" s="289" t="s">
        <v>244</v>
      </c>
      <c r="C79" s="290"/>
      <c r="D79" s="289" t="s">
        <v>245</v>
      </c>
      <c r="E79" s="290"/>
      <c r="F79" s="127">
        <v>17</v>
      </c>
    </row>
    <row r="80" spans="1:6" ht="42.75" customHeight="1">
      <c r="A80" s="128" t="s">
        <v>97</v>
      </c>
      <c r="B80" s="266" t="s">
        <v>246</v>
      </c>
      <c r="C80" s="267"/>
      <c r="D80" s="268" t="s">
        <v>247</v>
      </c>
      <c r="E80" s="269"/>
      <c r="F80" s="129" t="s">
        <v>86</v>
      </c>
    </row>
  </sheetData>
  <sheetProtection formatCells="0" formatColumns="0" formatRows="0" insertColumns="0" insertRows="0" insertHyperlinks="0" deleteColumns="0" deleteRows="0" sort="0" autoFilter="0" pivotTables="0"/>
  <mergeCells count="149">
    <mergeCell ref="B79:C79"/>
    <mergeCell ref="D79:E79"/>
    <mergeCell ref="B80:C80"/>
    <mergeCell ref="D80:E80"/>
    <mergeCell ref="B76:C76"/>
    <mergeCell ref="D76:E76"/>
    <mergeCell ref="B77:C77"/>
    <mergeCell ref="D77:E77"/>
    <mergeCell ref="B78:C78"/>
    <mergeCell ref="D78:E78"/>
    <mergeCell ref="B73:C73"/>
    <mergeCell ref="D73:E73"/>
    <mergeCell ref="B74:C74"/>
    <mergeCell ref="D74:E74"/>
    <mergeCell ref="B75:C75"/>
    <mergeCell ref="D75:E75"/>
    <mergeCell ref="B70:C70"/>
    <mergeCell ref="D70:E70"/>
    <mergeCell ref="B71:C71"/>
    <mergeCell ref="D71:E71"/>
    <mergeCell ref="B72:C72"/>
    <mergeCell ref="D72:E72"/>
    <mergeCell ref="B67:C67"/>
    <mergeCell ref="D67:E67"/>
    <mergeCell ref="B68:C68"/>
    <mergeCell ref="D68:E68"/>
    <mergeCell ref="B69:C69"/>
    <mergeCell ref="D69:E69"/>
    <mergeCell ref="B64:C64"/>
    <mergeCell ref="D64:E64"/>
    <mergeCell ref="B65:C65"/>
    <mergeCell ref="D65:E65"/>
    <mergeCell ref="B66:C66"/>
    <mergeCell ref="D66:E66"/>
    <mergeCell ref="B61:C61"/>
    <mergeCell ref="D61:E61"/>
    <mergeCell ref="B62:C62"/>
    <mergeCell ref="D62:E62"/>
    <mergeCell ref="B63:C63"/>
    <mergeCell ref="D63:E63"/>
    <mergeCell ref="B58:C58"/>
    <mergeCell ref="D58:E58"/>
    <mergeCell ref="B59:C59"/>
    <mergeCell ref="D59:E59"/>
    <mergeCell ref="B60:C60"/>
    <mergeCell ref="D60:E60"/>
    <mergeCell ref="B55:C55"/>
    <mergeCell ref="D55:E55"/>
    <mergeCell ref="B56:C56"/>
    <mergeCell ref="D56:E56"/>
    <mergeCell ref="B57:C57"/>
    <mergeCell ref="D57:E57"/>
    <mergeCell ref="B52:C52"/>
    <mergeCell ref="D52:E52"/>
    <mergeCell ref="B53:C53"/>
    <mergeCell ref="D53:E53"/>
    <mergeCell ref="B54:C54"/>
    <mergeCell ref="D54:E54"/>
    <mergeCell ref="B49:C49"/>
    <mergeCell ref="D49:E49"/>
    <mergeCell ref="B50:C50"/>
    <mergeCell ref="D50:E50"/>
    <mergeCell ref="B51:C51"/>
    <mergeCell ref="D51:E51"/>
    <mergeCell ref="B46:C46"/>
    <mergeCell ref="D46:E46"/>
    <mergeCell ref="B47:C47"/>
    <mergeCell ref="D47:E47"/>
    <mergeCell ref="B48:C48"/>
    <mergeCell ref="D48:E48"/>
    <mergeCell ref="B43:C43"/>
    <mergeCell ref="D43:E43"/>
    <mergeCell ref="B44:C44"/>
    <mergeCell ref="D44:E44"/>
    <mergeCell ref="B45:C45"/>
    <mergeCell ref="D45:E45"/>
    <mergeCell ref="B40:C40"/>
    <mergeCell ref="D40:E40"/>
    <mergeCell ref="B41:C41"/>
    <mergeCell ref="D41:E41"/>
    <mergeCell ref="B42:C42"/>
    <mergeCell ref="D42:E42"/>
    <mergeCell ref="B37:C37"/>
    <mergeCell ref="D37:E37"/>
    <mergeCell ref="B38:C38"/>
    <mergeCell ref="D38:E38"/>
    <mergeCell ref="B39:C39"/>
    <mergeCell ref="D39:E39"/>
    <mergeCell ref="B34:C34"/>
    <mergeCell ref="D34:E34"/>
    <mergeCell ref="B35:C35"/>
    <mergeCell ref="D35:E35"/>
    <mergeCell ref="B36:C36"/>
    <mergeCell ref="D36:E36"/>
    <mergeCell ref="B31:C31"/>
    <mergeCell ref="D31:E31"/>
    <mergeCell ref="B32:C32"/>
    <mergeCell ref="D32:E32"/>
    <mergeCell ref="B33:C33"/>
    <mergeCell ref="D33:E33"/>
    <mergeCell ref="B28:C28"/>
    <mergeCell ref="D28:E28"/>
    <mergeCell ref="B29:C29"/>
    <mergeCell ref="D29:E29"/>
    <mergeCell ref="B30:C30"/>
    <mergeCell ref="D30:E30"/>
    <mergeCell ref="B25:C25"/>
    <mergeCell ref="D25:E25"/>
    <mergeCell ref="B26:C26"/>
    <mergeCell ref="D26:E26"/>
    <mergeCell ref="B27:C27"/>
    <mergeCell ref="D27:E27"/>
    <mergeCell ref="B22:C22"/>
    <mergeCell ref="D22:E22"/>
    <mergeCell ref="B23:C23"/>
    <mergeCell ref="D23:E23"/>
    <mergeCell ref="B24:C24"/>
    <mergeCell ref="D24:E24"/>
    <mergeCell ref="B19:C19"/>
    <mergeCell ref="D19:E19"/>
    <mergeCell ref="B20:C20"/>
    <mergeCell ref="D20:E20"/>
    <mergeCell ref="B21:C21"/>
    <mergeCell ref="D21:E21"/>
    <mergeCell ref="B16:C16"/>
    <mergeCell ref="D16:E16"/>
    <mergeCell ref="B17:C17"/>
    <mergeCell ref="D17:E17"/>
    <mergeCell ref="B18:C18"/>
    <mergeCell ref="D18:E18"/>
    <mergeCell ref="B15:C15"/>
    <mergeCell ref="D15:E15"/>
    <mergeCell ref="A10:B10"/>
    <mergeCell ref="C10:D10"/>
    <mergeCell ref="E10:F10"/>
    <mergeCell ref="A11:C11"/>
    <mergeCell ref="D11:F11"/>
    <mergeCell ref="B12:C12"/>
    <mergeCell ref="D12:E12"/>
    <mergeCell ref="A4:F4"/>
    <mergeCell ref="A5:F5"/>
    <mergeCell ref="A6:F6"/>
    <mergeCell ref="A7:F7"/>
    <mergeCell ref="A9:C9"/>
    <mergeCell ref="D9:F9"/>
    <mergeCell ref="B13:C13"/>
    <mergeCell ref="D13:E13"/>
    <mergeCell ref="B14:C14"/>
    <mergeCell ref="D14:E14"/>
  </mergeCells>
  <printOptions horizontalCentered="1"/>
  <pageMargins left="0.39370078740157483" right="0.39370078740157483" top="0.51181102362204722" bottom="0.51181102362204722" header="0.31496062992125984" footer="0.51181102362204722"/>
  <pageSetup paperSize="9" scale="78" orientation="portrait" r:id="rId1"/>
  <rowBreaks count="2" manualBreakCount="2">
    <brk id="47" max="5" man="1"/>
    <brk id="64" max="5" man="1"/>
  </rowBreaks>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A00-000000000000}">
          <x14:formula1>
            <xm:f>ورقة1!$A$6:$D$6</xm:f>
          </x14:formula1>
          <xm:sqref>C28:D28</xm:sqref>
        </x14:dataValidation>
        <x14:dataValidation type="list" allowBlank="1" showInputMessage="1" showErrorMessage="1" xr:uid="{00000000-0002-0000-0A00-000001000000}">
          <x14:formula1>
            <xm:f>ورقة1!$A$5:$C$5</xm:f>
          </x14:formula1>
          <xm:sqref>C27:D28</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S12"/>
  <sheetViews>
    <sheetView rightToLeft="1" workbookViewId="0">
      <selection activeCell="I8" sqref="I8"/>
    </sheetView>
  </sheetViews>
  <sheetFormatPr defaultColWidth="8.85546875" defaultRowHeight="12.75"/>
  <cols>
    <col min="1" max="1" width="31.42578125" style="5" customWidth="1"/>
    <col min="2" max="2" width="32.140625" style="5" bestFit="1" customWidth="1"/>
    <col min="3" max="3" width="38.42578125" style="5" customWidth="1"/>
    <col min="4" max="4" width="50.85546875" style="5" customWidth="1"/>
    <col min="5" max="5" width="41.28515625" style="5" bestFit="1" customWidth="1"/>
    <col min="6" max="6" width="46.42578125" style="5" customWidth="1"/>
    <col min="7" max="7" width="48.5703125" style="5" bestFit="1" customWidth="1"/>
    <col min="8" max="8" width="31.28515625" style="5" bestFit="1" customWidth="1"/>
    <col min="9" max="9" width="38.85546875" style="5" customWidth="1"/>
    <col min="10" max="10" width="26.140625" style="5" bestFit="1" customWidth="1"/>
    <col min="11" max="11" width="28.140625" style="5" bestFit="1" customWidth="1"/>
    <col min="12" max="12" width="23.7109375" style="5" bestFit="1" customWidth="1"/>
    <col min="13" max="13" width="22.140625" style="5" bestFit="1" customWidth="1"/>
    <col min="14" max="14" width="23.140625" style="5" bestFit="1" customWidth="1"/>
    <col min="15" max="15" width="23.85546875" style="5" bestFit="1" customWidth="1"/>
    <col min="16" max="16" width="15.28515625" style="5" bestFit="1" customWidth="1"/>
    <col min="17" max="17" width="24.85546875" style="5" bestFit="1" customWidth="1"/>
    <col min="18" max="18" width="22.42578125" style="5" bestFit="1" customWidth="1"/>
    <col min="19" max="19" width="21" style="5" bestFit="1" customWidth="1"/>
    <col min="20" max="16384" width="8.85546875" style="5"/>
  </cols>
  <sheetData>
    <row r="1" spans="1:19" ht="25.5">
      <c r="A1" s="2" t="s">
        <v>50</v>
      </c>
      <c r="B1" s="3" t="s">
        <v>51</v>
      </c>
      <c r="C1" s="3" t="s">
        <v>397</v>
      </c>
      <c r="D1" s="4" t="s">
        <v>81</v>
      </c>
      <c r="E1" s="11" t="s">
        <v>398</v>
      </c>
      <c r="F1" s="3" t="s">
        <v>82</v>
      </c>
      <c r="G1" s="11" t="s">
        <v>84</v>
      </c>
      <c r="H1" s="3" t="s">
        <v>399</v>
      </c>
      <c r="I1" s="3" t="s">
        <v>451</v>
      </c>
    </row>
    <row r="2" spans="1:19">
      <c r="B2" s="5" t="s">
        <v>54</v>
      </c>
      <c r="C2" s="5" t="s">
        <v>77</v>
      </c>
    </row>
    <row r="3" spans="1:19">
      <c r="B3" s="5" t="s">
        <v>55</v>
      </c>
      <c r="C3" s="5" t="s">
        <v>56</v>
      </c>
    </row>
    <row r="4" spans="1:19" ht="15">
      <c r="A4" s="1" t="s">
        <v>57</v>
      </c>
      <c r="B4" s="1" t="s">
        <v>58</v>
      </c>
      <c r="C4" s="1" t="s">
        <v>59</v>
      </c>
      <c r="D4" s="1" t="s">
        <v>60</v>
      </c>
      <c r="E4" s="7" t="s">
        <v>61</v>
      </c>
      <c r="F4" s="1" t="s">
        <v>62</v>
      </c>
      <c r="G4" s="7" t="s">
        <v>63</v>
      </c>
      <c r="H4" s="7" t="s">
        <v>64</v>
      </c>
      <c r="I4" s="1" t="s">
        <v>65</v>
      </c>
      <c r="J4" s="7" t="s">
        <v>66</v>
      </c>
      <c r="K4" s="7" t="s">
        <v>67</v>
      </c>
      <c r="L4" s="7" t="s">
        <v>68</v>
      </c>
      <c r="M4" s="7" t="s">
        <v>69</v>
      </c>
      <c r="N4" s="7" t="s">
        <v>70</v>
      </c>
      <c r="O4" s="6" t="s">
        <v>71</v>
      </c>
      <c r="P4" s="5" t="s">
        <v>83</v>
      </c>
      <c r="Q4" s="5" t="s">
        <v>85</v>
      </c>
      <c r="R4" s="7" t="s">
        <v>93</v>
      </c>
      <c r="S4" s="5" t="s">
        <v>390</v>
      </c>
    </row>
    <row r="5" spans="1:19">
      <c r="A5" s="5" t="s">
        <v>72</v>
      </c>
      <c r="B5" s="5" t="s">
        <v>73</v>
      </c>
      <c r="C5" s="5" t="s">
        <v>74</v>
      </c>
    </row>
    <row r="6" spans="1:19">
      <c r="A6" s="5" t="s">
        <v>72</v>
      </c>
      <c r="B6" s="5" t="s">
        <v>73</v>
      </c>
      <c r="C6" s="5" t="s">
        <v>74</v>
      </c>
      <c r="D6" s="5" t="s">
        <v>75</v>
      </c>
    </row>
    <row r="12" spans="1:19">
      <c r="C12" s="5" t="s">
        <v>389</v>
      </c>
    </row>
  </sheetData>
  <sheetProtection formatCells="0" formatColumns="0" formatRows="0" insertColumns="0" insertRows="0" insertHyperlinks="0" deleteColumns="0" deleteRows="0" sort="0" autoFilter="0" pivotTables="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16</vt:i4>
      </vt:variant>
    </vt:vector>
  </HeadingPairs>
  <TitlesOfParts>
    <vt:vector size="28" baseType="lpstr">
      <vt:lpstr>Unit Details </vt:lpstr>
      <vt:lpstr>Index Commercial - 02</vt:lpstr>
      <vt:lpstr>01- Residential</vt:lpstr>
      <vt:lpstr>01- Renewal</vt:lpstr>
      <vt:lpstr>02- Extension of Tenancy</vt:lpstr>
      <vt:lpstr>Invoice + Requirement</vt:lpstr>
      <vt:lpstr>03- Declaration Form</vt:lpstr>
      <vt:lpstr>04- Tenant Check-In</vt:lpstr>
      <vt:lpstr>05- Tenant Check- out</vt:lpstr>
      <vt:lpstr>06- TENANCY CANCELLATION</vt:lpstr>
      <vt:lpstr>الشروط و الاحكام </vt:lpstr>
      <vt:lpstr>ورقة1</vt:lpstr>
      <vt:lpstr>'01- Renewal'!Print_Area</vt:lpstr>
      <vt:lpstr>'01- Residential'!Print_Area</vt:lpstr>
      <vt:lpstr>'02- Extension of Tenancy'!Print_Area</vt:lpstr>
      <vt:lpstr>'03- Declaration Form'!Print_Area</vt:lpstr>
      <vt:lpstr>'04- Tenant Check-In'!Print_Area</vt:lpstr>
      <vt:lpstr>'05- Tenant Check- out'!Print_Area</vt:lpstr>
      <vt:lpstr>'06- TENANCY CANCELLATION'!Print_Area</vt:lpstr>
      <vt:lpstr>'Index Commercial - 02'!Print_Area</vt:lpstr>
      <vt:lpstr>'Invoice + Requirement'!Print_Area</vt:lpstr>
      <vt:lpstr>'Unit Details '!Print_Area</vt:lpstr>
      <vt:lpstr>'الشروط و الاحكام '!Print_Area</vt:lpstr>
      <vt:lpstr>'01- Renewal'!Print_Titles</vt:lpstr>
      <vt:lpstr>'01- Residential'!Print_Titles</vt:lpstr>
      <vt:lpstr>'02- Extension of Tenancy'!Print_Titles</vt:lpstr>
      <vt:lpstr>'Invoice + Requirement'!Print_Titles</vt:lpstr>
      <vt:lpstr>'الشروط و الاحكام '!Print_Titles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1710636 ABDUL HAMID HAMOOD HAMDAN  AL RAWAHI</cp:lastModifiedBy>
  <cp:lastPrinted>2025-10-08T08:03:49Z</cp:lastPrinted>
  <dcterms:created xsi:type="dcterms:W3CDTF">2012-05-30T06:28:21Z</dcterms:created>
  <dcterms:modified xsi:type="dcterms:W3CDTF">2025-10-08T08:32:45Z</dcterms:modified>
</cp:coreProperties>
</file>